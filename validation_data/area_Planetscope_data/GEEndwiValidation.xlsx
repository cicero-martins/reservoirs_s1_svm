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pa\Desktop\PaperGEE_revfinal\Submission\Validation\NDWImethod\"/>
    </mc:Choice>
  </mc:AlternateContent>
  <xr:revisionPtr revIDLastSave="0" documentId="13_ncr:1_{515CCD93-0168-48DF-8ABA-80CD30906A23}" xr6:coauthVersionLast="47" xr6:coauthVersionMax="47" xr10:uidLastSave="{00000000-0000-0000-0000-000000000000}"/>
  <bookViews>
    <workbookView xWindow="28680" yWindow="-120" windowWidth="21840" windowHeight="13020" tabRatio="922" firstSheet="1" activeTab="1" xr2:uid="{188191BC-3BAC-4B41-B4C5-91D18CF74A46}"/>
  </bookViews>
  <sheets>
    <sheet name="Sheet11" sheetId="11" state="hidden" r:id="rId1"/>
    <sheet name="README" sheetId="17" r:id="rId2"/>
    <sheet name="Fig7_Tab3-SelectedNDWI" sheetId="2" r:id="rId3"/>
    <sheet name="ndwiValidation" sheetId="1" r:id="rId4"/>
    <sheet name="0.20" sheetId="16" r:id="rId5"/>
    <sheet name="0.15" sheetId="15" r:id="rId6"/>
    <sheet name="0.10" sheetId="14" r:id="rId7"/>
    <sheet name="0.05" sheetId="13" r:id="rId8"/>
    <sheet name="0.00" sheetId="12" r:id="rId9"/>
    <sheet name="-0.05" sheetId="10" r:id="rId10"/>
    <sheet name="-0.1" sheetId="9" r:id="rId11"/>
    <sheet name="-0.15" sheetId="8" r:id="rId12"/>
    <sheet name="-0.2" sheetId="7" r:id="rId13"/>
    <sheet name="-0.25" sheetId="6" r:id="rId14"/>
    <sheet name="-0.3" sheetId="5" r:id="rId15"/>
    <sheet name="-0.35" sheetId="4" r:id="rId16"/>
    <sheet name="-0.4" sheetId="3" r:id="rId17"/>
    <sheet name="Fig9-Histogram" sheetId="18" r:id="rId18"/>
    <sheet name="Fig10-Final_Ts" sheetId="19" r:id="rId19"/>
    <sheet name="ChosenNDWI_wholeSet" sheetId="20" r:id="rId20"/>
  </sheets>
  <externalReferences>
    <externalReference r:id="rId21"/>
    <externalReference r:id="rId22"/>
  </externalReferences>
  <definedNames>
    <definedName name="_xlnm._FilterDatabase" localSheetId="19" hidden="1">ChosenNDWI_wholeSet!$A$1:$H$201</definedName>
    <definedName name="_xlnm._FilterDatabase" localSheetId="3" hidden="1">ndwiValidation!$A$1:$G$73</definedName>
    <definedName name="angle">[1]Sheet3!$A$1:$C$102</definedName>
    <definedName name="angle2">#REF!</definedName>
    <definedName name="TndwiTotal">ChosenNDWI_wholeSet!$B$1:$H$239</definedName>
  </definedNames>
  <calcPr calcId="191029"/>
  <pivotCaches>
    <pivotCache cacheId="3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H2" i="2"/>
  <c r="G3" i="2"/>
  <c r="G4" i="2"/>
  <c r="G5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F10" i="16"/>
  <c r="F9" i="16"/>
  <c r="F8" i="16"/>
  <c r="F7" i="16"/>
  <c r="F6" i="16"/>
  <c r="F5" i="16"/>
  <c r="F4" i="16"/>
  <c r="F3" i="16"/>
  <c r="F2" i="16"/>
  <c r="F10" i="15"/>
  <c r="F9" i="15"/>
  <c r="F8" i="15"/>
  <c r="F7" i="15"/>
  <c r="F6" i="15"/>
  <c r="F5" i="15"/>
  <c r="F4" i="15"/>
  <c r="F3" i="15"/>
  <c r="F2" i="15"/>
  <c r="F10" i="14"/>
  <c r="F9" i="14"/>
  <c r="F8" i="14"/>
  <c r="F7" i="14"/>
  <c r="F6" i="14"/>
  <c r="F5" i="14"/>
  <c r="F4" i="14"/>
  <c r="F3" i="14"/>
  <c r="F2" i="14"/>
  <c r="F10" i="13"/>
  <c r="F9" i="13"/>
  <c r="F8" i="13"/>
  <c r="F7" i="13"/>
  <c r="F6" i="13"/>
  <c r="F5" i="13"/>
  <c r="F4" i="13"/>
  <c r="F3" i="13"/>
  <c r="F2" i="13"/>
  <c r="F10" i="12"/>
  <c r="F9" i="12"/>
  <c r="F8" i="12"/>
  <c r="F7" i="12"/>
  <c r="F6" i="12"/>
  <c r="F5" i="12"/>
  <c r="F4" i="12"/>
  <c r="F3" i="12"/>
  <c r="F2" i="12"/>
  <c r="F10" i="10"/>
  <c r="F9" i="10"/>
  <c r="F8" i="10"/>
  <c r="F7" i="10"/>
  <c r="F6" i="10"/>
  <c r="F5" i="10"/>
  <c r="F4" i="10"/>
  <c r="F3" i="10"/>
  <c r="F2" i="10"/>
  <c r="F10" i="9"/>
  <c r="F9" i="9"/>
  <c r="F8" i="9"/>
  <c r="F7" i="9"/>
  <c r="F6" i="9"/>
  <c r="F5" i="9"/>
  <c r="F4" i="9"/>
  <c r="F3" i="9"/>
  <c r="F2" i="9"/>
  <c r="F10" i="8"/>
  <c r="F9" i="8"/>
  <c r="F8" i="8"/>
  <c r="F7" i="8"/>
  <c r="F6" i="8"/>
  <c r="F5" i="8"/>
  <c r="F4" i="8"/>
  <c r="F3" i="8"/>
  <c r="F2" i="8"/>
  <c r="F10" i="7"/>
  <c r="F9" i="7"/>
  <c r="F8" i="7"/>
  <c r="F7" i="7"/>
  <c r="F6" i="7"/>
  <c r="F5" i="7"/>
  <c r="F4" i="7"/>
  <c r="F3" i="7"/>
  <c r="F2" i="7"/>
  <c r="F10" i="6"/>
  <c r="F9" i="6"/>
  <c r="F8" i="6"/>
  <c r="F7" i="6"/>
  <c r="F6" i="6"/>
  <c r="F5" i="6"/>
  <c r="F4" i="6"/>
  <c r="F3" i="6"/>
  <c r="F2" i="6"/>
  <c r="F10" i="5"/>
  <c r="F9" i="5"/>
  <c r="F8" i="5"/>
  <c r="F7" i="5"/>
  <c r="F6" i="5"/>
  <c r="F5" i="5"/>
  <c r="F4" i="5"/>
  <c r="F3" i="5"/>
  <c r="F2" i="5"/>
  <c r="F10" i="4"/>
  <c r="F9" i="4"/>
  <c r="F8" i="4"/>
  <c r="F7" i="4"/>
  <c r="F6" i="4"/>
  <c r="F5" i="4"/>
  <c r="F4" i="4"/>
  <c r="F3" i="4"/>
  <c r="F2" i="4"/>
  <c r="F3" i="3"/>
  <c r="F4" i="3"/>
  <c r="F5" i="3"/>
  <c r="F6" i="3"/>
  <c r="F7" i="3"/>
  <c r="F8" i="3"/>
  <c r="F9" i="3"/>
  <c r="F10" i="3"/>
  <c r="F2" i="3"/>
</calcChain>
</file>

<file path=xl/sharedStrings.xml><?xml version="1.0" encoding="utf-8"?>
<sst xmlns="http://schemas.openxmlformats.org/spreadsheetml/2006/main" count="1111" uniqueCount="59">
  <si>
    <t>Local</t>
  </si>
  <si>
    <t>data</t>
  </si>
  <si>
    <t>A_polygono</t>
  </si>
  <si>
    <t>threshold</t>
  </si>
  <si>
    <t>tipo</t>
  </si>
  <si>
    <t>Area (ha)</t>
  </si>
  <si>
    <t>finalNDWI</t>
  </si>
  <si>
    <t>Poma</t>
  </si>
  <si>
    <t>planetNdwi</t>
  </si>
  <si>
    <t>nao</t>
  </si>
  <si>
    <t>sim</t>
  </si>
  <si>
    <t>Ancipa</t>
  </si>
  <si>
    <t>Pozzillo</t>
  </si>
  <si>
    <t>Rosamarina</t>
  </si>
  <si>
    <t>%erro</t>
  </si>
  <si>
    <t>(ym-yr)^2</t>
  </si>
  <si>
    <t>RMSE</t>
  </si>
  <si>
    <t xml:space="preserve">Monitoring Reservoir Surface and Storage Dynamics Using Sentinel-1 SAR and Machine Learning in Google Earth Engine </t>
  </si>
  <si>
    <t xml:space="preserve">* e-mail: cicero.martinsjr@unipa.it </t>
  </si>
  <si>
    <t>Cicero Martins Jr1*, Fulvio Capodici1, Mauro de Marchis1, &amp; Giuseppe Ciraolo1</t>
  </si>
  <si>
    <t>1 Dipartimento di Ingegneria, Università degli Studi di Palermo, Palermo, Italy</t>
  </si>
  <si>
    <t>A_polygon</t>
  </si>
  <si>
    <t>This file was used to validate the extraction of the areas from PlanetScope-derived watermasks, generated using</t>
  </si>
  <si>
    <t xml:space="preserve">"ndwiValidation" list all the thresholds used and respective NDWI areas calculated, in comparison with area from </t>
  </si>
  <si>
    <t xml:space="preserve">an adjusted NDWI filtering method, manually adjusted, as presented in the paper in the items 2.5 and 3.4, and </t>
  </si>
  <si>
    <t>detailed at the Appendix S2, in the Supplementary Material.</t>
  </si>
  <si>
    <t>Row Labels</t>
  </si>
  <si>
    <t>Count of threshold</t>
  </si>
  <si>
    <t>Count of tipo</t>
  </si>
  <si>
    <t>Grand Total</t>
  </si>
  <si>
    <t>usar</t>
  </si>
  <si>
    <t>obs</t>
  </si>
  <si>
    <t>algas/macrofitas na superficie reduz o resultado</t>
  </si>
  <si>
    <t>Threshold alterado, devido imagem ofuscada (sciroco?)</t>
  </si>
  <si>
    <t>religado JRC, mantido -0.2</t>
  </si>
  <si>
    <t>inserido poligono aoi ancipa (retirar barragem com ndwi similar agua)</t>
  </si>
  <si>
    <t>sarThresholdDescending</t>
  </si>
  <si>
    <t>sarThresholdAscending</t>
  </si>
  <si>
    <t>nuvem proximo barragem</t>
  </si>
  <si>
    <t>sem JRC</t>
  </si>
  <si>
    <t>ligado filtro JRC devido nebulosidade no entorno</t>
  </si>
  <si>
    <t>com JRC, devido debulosidade no entorno</t>
  </si>
  <si>
    <t>pequena distorção na margem esquerda proximo tomada dagua, talvez vegetaçao (b4 elevado)</t>
  </si>
  <si>
    <t>manchas de floraçao de algas causam pequenos erros no leito</t>
  </si>
  <si>
    <t>corrigir manualmente</t>
  </si>
  <si>
    <t>resultado ruim</t>
  </si>
  <si>
    <t>nublado, ligado JRC</t>
  </si>
  <si>
    <t>reduzido threshold</t>
  </si>
  <si>
    <t>threshold reduzido, para melhor conformidade</t>
  </si>
  <si>
    <t>aprimorado poligono aoi ancipa, devido manchas de neve similar agua</t>
  </si>
  <si>
    <t>aprimorado poligono aoi ancipa, area maior apos enchimento</t>
  </si>
  <si>
    <t>"Fig7_Tab3_Selected" resume the final results, presented in the Table 3 and Figure 7.</t>
  </si>
  <si>
    <t xml:space="preserve">The following sheets (0.2, 0.15,...,-0.4) ilustrates the area results and errors obtained for fixed NDWI thresholds between </t>
  </si>
  <si>
    <t>*-0.4 and 0.2 summarily presented in Figure 8.</t>
  </si>
  <si>
    <t xml:space="preserve">The last three sheets show the data used at Figs 9 and 10, based on the chosen NDWI for each image from the whole dataset </t>
  </si>
  <si>
    <t>masks for the same images, polygons manually drawn in QGIS (see "polygons" folder for this dataset).</t>
  </si>
  <si>
    <t>https://ee-ciceromartinsjr.projects.earthengine.app/view/ndwi-validation-planet-images</t>
  </si>
  <si>
    <t>of PlanetScope images. The processing and results were obtained using another GEE Script, available at the folder.</t>
  </si>
  <si>
    <t xml:space="preserve">The GEE app generated to visualize the results can be accessed at: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</si>
</sst>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0.0%"/>
    <numFmt numFmtId="166" formatCode="yy/mm/dd;@"/>
    <numFmt numFmtId="167" formatCode="0.000"/>
    <numFmt numFmtId="168" formatCode="[$-409]d\-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</font>
    <font>
      <sz val="12"/>
      <color theme="1"/>
      <name val="Calibri"/>
      <family val="2"/>
    </font>
    <font>
      <i/>
      <vertAlign val="superscript"/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166" fontId="0" fillId="0" borderId="0" xfId="0" applyNumberFormat="1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2" applyAlignment="1">
      <alignment vertic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0" fillId="0" borderId="0" xfId="0" applyAlignment="1">
      <alignment horizontal="left"/>
    </xf>
    <xf numFmtId="167" fontId="0" fillId="0" borderId="0" xfId="1" applyNumberFormat="1" applyFont="1"/>
    <xf numFmtId="168" fontId="0" fillId="0" borderId="0" xfId="0" applyNumberFormat="1"/>
    <xf numFmtId="14" fontId="0" fillId="0" borderId="0" xfId="0" applyNumberFormat="1"/>
    <xf numFmtId="168" fontId="0" fillId="0" borderId="0" xfId="0" applyNumberFormat="1" applyAlignment="1">
      <alignment horizontal="right"/>
    </xf>
    <xf numFmtId="15" fontId="0" fillId="0" borderId="0" xfId="0" applyNumberFormat="1"/>
    <xf numFmtId="0" fontId="5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'Fig7_Tab3-SelectedNDWI'!$E$1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180008748906392E-2"/>
                  <c:y val="0.58029756693639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'Fig7_Tab3-SelectedNDWI'!$C$2:$C$10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'Fig7_Tab3-SelectedNDWI'!$E$2:$E$10</c:f>
              <c:numCache>
                <c:formatCode>#,##0.00</c:formatCode>
                <c:ptCount val="9"/>
                <c:pt idx="0">
                  <c:v>177.00839999999999</c:v>
                </c:pt>
                <c:pt idx="1">
                  <c:v>324.69929999999999</c:v>
                </c:pt>
                <c:pt idx="2">
                  <c:v>66.355999999999995</c:v>
                </c:pt>
                <c:pt idx="3">
                  <c:v>22.502199999999998</c:v>
                </c:pt>
                <c:pt idx="4">
                  <c:v>107.9676</c:v>
                </c:pt>
                <c:pt idx="5">
                  <c:v>213.93539999999999</c:v>
                </c:pt>
                <c:pt idx="6">
                  <c:v>616.29750000000001</c:v>
                </c:pt>
                <c:pt idx="7">
                  <c:v>108.873</c:v>
                </c:pt>
                <c:pt idx="8">
                  <c:v>248.91659999999999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E-4EB6-B1FD-7A527744EFF3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2EE-4EB6-B1FD-7A527744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'0.20'!$E$1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'0.20'!$C$2:$C$10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'0.20'!$E$2:$E$10</c:f>
              <c:numCache>
                <c:formatCode>#,##0.00</c:formatCode>
                <c:ptCount val="9"/>
                <c:pt idx="0">
                  <c:v>168.102</c:v>
                </c:pt>
                <c:pt idx="1">
                  <c:v>312.14699999999999</c:v>
                </c:pt>
                <c:pt idx="2">
                  <c:v>0</c:v>
                </c:pt>
                <c:pt idx="3">
                  <c:v>13.508100000000001</c:v>
                </c:pt>
                <c:pt idx="4">
                  <c:v>37.959299999999999</c:v>
                </c:pt>
                <c:pt idx="5">
                  <c:v>203.82839999999999</c:v>
                </c:pt>
                <c:pt idx="6">
                  <c:v>583.45320000000004</c:v>
                </c:pt>
                <c:pt idx="7">
                  <c:v>0</c:v>
                </c:pt>
                <c:pt idx="8">
                  <c:v>235.7379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F-4B76-ABE7-529C771865A1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CCF-4B76-ABE7-529C7718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'0.15'!$E$1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'0.15'!$C$2:$C$10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'0.15'!$E$2:$E$10</c:f>
              <c:numCache>
                <c:formatCode>#,##0.00</c:formatCode>
                <c:ptCount val="9"/>
                <c:pt idx="0">
                  <c:v>169.30799999999999</c:v>
                </c:pt>
                <c:pt idx="1">
                  <c:v>313.97219999999999</c:v>
                </c:pt>
                <c:pt idx="2">
                  <c:v>0</c:v>
                </c:pt>
                <c:pt idx="3">
                  <c:v>17.271899999999999</c:v>
                </c:pt>
                <c:pt idx="4">
                  <c:v>63.579599999999999</c:v>
                </c:pt>
                <c:pt idx="5">
                  <c:v>206.1369</c:v>
                </c:pt>
                <c:pt idx="6">
                  <c:v>589.96047999999996</c:v>
                </c:pt>
                <c:pt idx="7">
                  <c:v>0</c:v>
                </c:pt>
                <c:pt idx="8">
                  <c:v>237.80609999999999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5C-4097-96DF-F46A6DFD34A6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B5C-4097-96DF-F46A6DFD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'0.10'!$E$1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'0.10'!$C$2:$C$10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'0.10'!$E$2:$E$10</c:f>
              <c:numCache>
                <c:formatCode>#,##0.00</c:formatCode>
                <c:ptCount val="9"/>
                <c:pt idx="0">
                  <c:v>170.41409999999999</c:v>
                </c:pt>
                <c:pt idx="1">
                  <c:v>315.72719999999998</c:v>
                </c:pt>
                <c:pt idx="2">
                  <c:v>0</c:v>
                </c:pt>
                <c:pt idx="3">
                  <c:v>18.9603</c:v>
                </c:pt>
                <c:pt idx="4">
                  <c:v>76.250699999999995</c:v>
                </c:pt>
                <c:pt idx="5">
                  <c:v>207.87209999999999</c:v>
                </c:pt>
                <c:pt idx="6">
                  <c:v>594.79250000000002</c:v>
                </c:pt>
                <c:pt idx="7">
                  <c:v>6.3E-3</c:v>
                </c:pt>
                <c:pt idx="8">
                  <c:v>239.7834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D-4866-BF0F-8623DB668033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16D-4866-BF0F-8623DB668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'0.05'!$E$1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'0.05'!$C$2:$C$10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'0.05'!$E$2:$E$10</c:f>
              <c:numCache>
                <c:formatCode>#,##0.00</c:formatCode>
                <c:ptCount val="9"/>
                <c:pt idx="0">
                  <c:v>171.37260000000001</c:v>
                </c:pt>
                <c:pt idx="1">
                  <c:v>317.40660000000003</c:v>
                </c:pt>
                <c:pt idx="2">
                  <c:v>0</c:v>
                </c:pt>
                <c:pt idx="3">
                  <c:v>20.127600000000001</c:v>
                </c:pt>
                <c:pt idx="4">
                  <c:v>82.558800000000005</c:v>
                </c:pt>
                <c:pt idx="5">
                  <c:v>209.36429999999999</c:v>
                </c:pt>
                <c:pt idx="6">
                  <c:v>598.87400000000002</c:v>
                </c:pt>
                <c:pt idx="7">
                  <c:v>2.2589999999999999</c:v>
                </c:pt>
                <c:pt idx="8">
                  <c:v>241.6464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38-4CFD-AB0B-687BAD25A2E2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2B38-4CFD-AB0B-687BAD25A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'0.00'!$E$1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'0.00'!$C$2:$C$10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'0.00'!$E$2:$E$10</c:f>
              <c:numCache>
                <c:formatCode>#,##0.00</c:formatCode>
                <c:ptCount val="9"/>
                <c:pt idx="0">
                  <c:v>172.5264</c:v>
                </c:pt>
                <c:pt idx="1">
                  <c:v>319.03739999999999</c:v>
                </c:pt>
                <c:pt idx="2">
                  <c:v>2.1600000000000001E-2</c:v>
                </c:pt>
                <c:pt idx="3">
                  <c:v>21.015899999999998</c:v>
                </c:pt>
                <c:pt idx="4">
                  <c:v>86.712299999999999</c:v>
                </c:pt>
                <c:pt idx="5">
                  <c:v>210.7611</c:v>
                </c:pt>
                <c:pt idx="6">
                  <c:v>602.23220000000003</c:v>
                </c:pt>
                <c:pt idx="7">
                  <c:v>9.4662000000000006</c:v>
                </c:pt>
                <c:pt idx="8">
                  <c:v>243.5256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05-45A4-AB28-426F2219344E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A05-45A4-AB28-426F22193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'-0.05'!$E$1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871828521434818E-3"/>
                  <c:y val="0.46345022418002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'-0.05'!$C$2:$C$10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'-0.05'!$E$2:$E$10</c:f>
              <c:numCache>
                <c:formatCode>#,##0.00</c:formatCode>
                <c:ptCount val="9"/>
                <c:pt idx="0">
                  <c:v>174.1446</c:v>
                </c:pt>
                <c:pt idx="1">
                  <c:v>320.71140000000003</c:v>
                </c:pt>
                <c:pt idx="2">
                  <c:v>9.6884999999999994</c:v>
                </c:pt>
                <c:pt idx="3">
                  <c:v>21.771000000000001</c:v>
                </c:pt>
                <c:pt idx="4">
                  <c:v>89.764200000000002</c:v>
                </c:pt>
                <c:pt idx="5">
                  <c:v>212.22540000000001</c:v>
                </c:pt>
                <c:pt idx="6">
                  <c:v>605.32759999999996</c:v>
                </c:pt>
                <c:pt idx="7">
                  <c:v>66.809700000000007</c:v>
                </c:pt>
                <c:pt idx="8">
                  <c:v>245.8143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8-4910-80AD-AE8E9523A037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E68-4910-80AD-AE8E9523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'-0.1'!$E$1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'-0.1'!$C$2:$C$10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'-0.1'!$E$2:$E$10</c:f>
              <c:numCache>
                <c:formatCode>#,##0.00</c:formatCode>
                <c:ptCount val="9"/>
                <c:pt idx="0">
                  <c:v>177.00839999999999</c:v>
                </c:pt>
                <c:pt idx="1">
                  <c:v>322.50060000000002</c:v>
                </c:pt>
                <c:pt idx="2">
                  <c:v>51.063299999999998</c:v>
                </c:pt>
                <c:pt idx="3">
                  <c:v>22.502199999999998</c:v>
                </c:pt>
                <c:pt idx="4">
                  <c:v>92.558999999999997</c:v>
                </c:pt>
                <c:pt idx="5">
                  <c:v>213.93539999999999</c:v>
                </c:pt>
                <c:pt idx="6">
                  <c:v>608.17999999999995</c:v>
                </c:pt>
                <c:pt idx="7">
                  <c:v>97.149600000000007</c:v>
                </c:pt>
                <c:pt idx="8">
                  <c:v>248.91659999999999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C6C-9A35-03230A039323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27D1-4C6C-9A35-03230A039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'-0.15'!$E$1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'-0.15'!$C$2:$C$10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'-0.15'!$E$2:$E$10</c:f>
              <c:numCache>
                <c:formatCode>#,##0.00</c:formatCode>
                <c:ptCount val="9"/>
                <c:pt idx="0">
                  <c:v>181.90799999999999</c:v>
                </c:pt>
                <c:pt idx="1">
                  <c:v>324.69929999999999</c:v>
                </c:pt>
                <c:pt idx="2">
                  <c:v>59.635800000000003</c:v>
                </c:pt>
                <c:pt idx="3">
                  <c:v>23.405000000000001</c:v>
                </c:pt>
                <c:pt idx="4">
                  <c:v>95.039500000000004</c:v>
                </c:pt>
                <c:pt idx="5">
                  <c:v>217.57769999999999</c:v>
                </c:pt>
                <c:pt idx="6">
                  <c:v>610.96600000000001</c:v>
                </c:pt>
                <c:pt idx="7">
                  <c:v>102.7773</c:v>
                </c:pt>
                <c:pt idx="8">
                  <c:v>254.74590000000001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1-4427-91B2-B3094A205F51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BC1-4427-91B2-B3094A205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'-0.2'!$E$1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'-0.2'!$C$2:$C$10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'-0.2'!$E$2:$E$10</c:f>
              <c:numCache>
                <c:formatCode>#,##0.00</c:formatCode>
                <c:ptCount val="9"/>
                <c:pt idx="0">
                  <c:v>190.1943</c:v>
                </c:pt>
                <c:pt idx="1">
                  <c:v>329.84190000000001</c:v>
                </c:pt>
                <c:pt idx="2">
                  <c:v>63.405000000000001</c:v>
                </c:pt>
                <c:pt idx="3">
                  <c:v>24.567799999999998</c:v>
                </c:pt>
                <c:pt idx="4">
                  <c:v>97.395899999999997</c:v>
                </c:pt>
                <c:pt idx="5">
                  <c:v>264.84399999999999</c:v>
                </c:pt>
                <c:pt idx="6">
                  <c:v>613.5163</c:v>
                </c:pt>
                <c:pt idx="7">
                  <c:v>106.19370000000001</c:v>
                </c:pt>
                <c:pt idx="8">
                  <c:v>274.18860000000001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3-42A5-98D5-04C9FFE17C98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2193-42A5-98D5-04C9FFE1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'-0.25'!$E$1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'-0.25'!$C$2:$C$10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'-0.25'!$E$2:$E$10</c:f>
              <c:numCache>
                <c:formatCode>#,##0.00</c:formatCode>
                <c:ptCount val="9"/>
                <c:pt idx="0">
                  <c:v>205.5591</c:v>
                </c:pt>
                <c:pt idx="1">
                  <c:v>338.68079999999998</c:v>
                </c:pt>
                <c:pt idx="2">
                  <c:v>66.355999999999995</c:v>
                </c:pt>
                <c:pt idx="3">
                  <c:v>27.136800000000001</c:v>
                </c:pt>
                <c:pt idx="4">
                  <c:v>99.823700000000002</c:v>
                </c:pt>
                <c:pt idx="5">
                  <c:v>340.11822000000001</c:v>
                </c:pt>
                <c:pt idx="6">
                  <c:v>616.29750000000001</c:v>
                </c:pt>
                <c:pt idx="7">
                  <c:v>108.873</c:v>
                </c:pt>
                <c:pt idx="8">
                  <c:v>293.16149999999999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78-4ECD-B0E6-1A277A5C2D15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078-4ECD-B0E6-1A277A5C2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'-0.3'!$E$1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'-0.3'!$C$2:$C$10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'-0.3'!$E$2:$E$10</c:f>
              <c:numCache>
                <c:formatCode>#,##0.00</c:formatCode>
                <c:ptCount val="9"/>
                <c:pt idx="0">
                  <c:v>224.47980000000001</c:v>
                </c:pt>
                <c:pt idx="1">
                  <c:v>350.62986999999998</c:v>
                </c:pt>
                <c:pt idx="2">
                  <c:v>69.731499999999997</c:v>
                </c:pt>
                <c:pt idx="3">
                  <c:v>36.773000000000003</c:v>
                </c:pt>
                <c:pt idx="4">
                  <c:v>102.35339999999999</c:v>
                </c:pt>
                <c:pt idx="5">
                  <c:v>469.65800000000002</c:v>
                </c:pt>
                <c:pt idx="6">
                  <c:v>619.38980000000004</c:v>
                </c:pt>
                <c:pt idx="7">
                  <c:v>113.589</c:v>
                </c:pt>
                <c:pt idx="8">
                  <c:v>311.24970000000002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F-44FA-8752-9AF03C5A7716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3EF-44FA-8752-9AF03C5A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'-0.35'!$E$1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'-0.35'!$C$2:$C$10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'-0.35'!$E$2:$E$10</c:f>
              <c:numCache>
                <c:formatCode>#,##0.00</c:formatCode>
                <c:ptCount val="9"/>
                <c:pt idx="0">
                  <c:v>242.07</c:v>
                </c:pt>
                <c:pt idx="1">
                  <c:v>386.78300000000002</c:v>
                </c:pt>
                <c:pt idx="2">
                  <c:v>73.864999999999995</c:v>
                </c:pt>
                <c:pt idx="3">
                  <c:v>53.8292</c:v>
                </c:pt>
                <c:pt idx="4">
                  <c:v>105.006</c:v>
                </c:pt>
                <c:pt idx="5">
                  <c:v>777.52250000000004</c:v>
                </c:pt>
                <c:pt idx="6">
                  <c:v>624.94569999999999</c:v>
                </c:pt>
                <c:pt idx="7">
                  <c:v>153.3339</c:v>
                </c:pt>
                <c:pt idx="8">
                  <c:v>350.64449999999999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8-4034-9102-373107B12DB0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478-4034-9102-373107B12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'-0.4'!$E$1</c:f>
              <c:strCache>
                <c:ptCount val="1"/>
                <c:pt idx="0">
                  <c:v>Area (ha)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624453193350831E-2"/>
                  <c:y val="0.65419913099921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'-0.4'!$C$2:$C$10</c:f>
              <c:numCache>
                <c:formatCode>0.00</c:formatCode>
                <c:ptCount val="9"/>
                <c:pt idx="0">
                  <c:v>172.35</c:v>
                </c:pt>
                <c:pt idx="1">
                  <c:v>333.02</c:v>
                </c:pt>
                <c:pt idx="2">
                  <c:v>68.989999999999995</c:v>
                </c:pt>
                <c:pt idx="3">
                  <c:v>21.53</c:v>
                </c:pt>
                <c:pt idx="4">
                  <c:v>128.36000000000001</c:v>
                </c:pt>
                <c:pt idx="5">
                  <c:v>218.59</c:v>
                </c:pt>
                <c:pt idx="6">
                  <c:v>627.15</c:v>
                </c:pt>
                <c:pt idx="7">
                  <c:v>113.27</c:v>
                </c:pt>
                <c:pt idx="8">
                  <c:v>252.97</c:v>
                </c:pt>
              </c:numCache>
            </c:numRef>
          </c:xVal>
          <c:yVal>
            <c:numRef>
              <c:f>'-0.4'!$E$2:$E$10</c:f>
              <c:numCache>
                <c:formatCode>#,##0.00</c:formatCode>
                <c:ptCount val="9"/>
                <c:pt idx="0">
                  <c:v>264.04000000000002</c:v>
                </c:pt>
                <c:pt idx="1">
                  <c:v>456.08210000000003</c:v>
                </c:pt>
                <c:pt idx="2">
                  <c:v>80.933000000000007</c:v>
                </c:pt>
                <c:pt idx="3">
                  <c:v>70.741</c:v>
                </c:pt>
                <c:pt idx="4">
                  <c:v>107.9676</c:v>
                </c:pt>
                <c:pt idx="5">
                  <c:v>1116.8561999999999</c:v>
                </c:pt>
                <c:pt idx="6">
                  <c:v>635.69100000000003</c:v>
                </c:pt>
                <c:pt idx="7">
                  <c:v>205.31970000000001</c:v>
                </c:pt>
                <c:pt idx="8">
                  <c:v>490.20830000000001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6D-4DBE-9D87-4E471123491B}"/>
            </c:ext>
          </c:extLst>
        </c:ser>
        <c:ser>
          <c:idx val="1"/>
          <c:order val="1"/>
          <c:tx>
            <c:v>diagn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9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1200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F6D-4DBE-9D87-4E4711234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0767"/>
        <c:axId val="813604607"/>
      </c:scatterChart>
      <c:valAx>
        <c:axId val="81360076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Manual drawn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4607"/>
        <c:crosses val="autoZero"/>
        <c:crossBetween val="midCat"/>
      </c:valAx>
      <c:valAx>
        <c:axId val="813604607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NDWI retrieved areas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3600767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'Fig9-Histogram'!$B$1</c:f>
              <c:strCache>
                <c:ptCount val="1"/>
                <c:pt idx="0">
                  <c:v>Count of threshold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'Fig9-Histogram'!$A$5:$A$14</c:f>
              <c:numCache>
                <c:formatCode>General</c:formatCode>
                <c:ptCount val="10"/>
                <c:pt idx="0">
                  <c:v>-0.25</c:v>
                </c:pt>
                <c:pt idx="1">
                  <c:v>-0.2</c:v>
                </c:pt>
                <c:pt idx="2">
                  <c:v>-0.15</c:v>
                </c:pt>
                <c:pt idx="3">
                  <c:v>-0.1</c:v>
                </c:pt>
                <c:pt idx="4">
                  <c:v>-0.05</c:v>
                </c:pt>
                <c:pt idx="5">
                  <c:v>0</c:v>
                </c:pt>
                <c:pt idx="6">
                  <c:v>0.05</c:v>
                </c:pt>
                <c:pt idx="7">
                  <c:v>0.1</c:v>
                </c:pt>
                <c:pt idx="8">
                  <c:v>0.15</c:v>
                </c:pt>
                <c:pt idx="9">
                  <c:v>0.2</c:v>
                </c:pt>
              </c:numCache>
            </c:numRef>
          </c:cat>
          <c:val>
            <c:numRef>
              <c:f>'Fig9-Histogram'!$B$5:$B$14</c:f>
              <c:numCache>
                <c:formatCode>0.000</c:formatCode>
                <c:ptCount val="10"/>
                <c:pt idx="0">
                  <c:v>0.94350000000000001</c:v>
                </c:pt>
                <c:pt idx="1">
                  <c:v>0.98460000000000003</c:v>
                </c:pt>
                <c:pt idx="2">
                  <c:v>0.99529999999999996</c:v>
                </c:pt>
                <c:pt idx="3">
                  <c:v>0.99539999999999995</c:v>
                </c:pt>
                <c:pt idx="4">
                  <c:v>0.98660000000000003</c:v>
                </c:pt>
                <c:pt idx="5">
                  <c:v>0.96799999999999997</c:v>
                </c:pt>
                <c:pt idx="6">
                  <c:v>0.96509999999999996</c:v>
                </c:pt>
                <c:pt idx="7">
                  <c:v>0.96399999999999997</c:v>
                </c:pt>
                <c:pt idx="8">
                  <c:v>0.96319999999999995</c:v>
                </c:pt>
                <c:pt idx="9">
                  <c:v>0.95899999999999996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4-4E5A-93DD-FEB0934E2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1895135"/>
        <c:axId val="591893695"/>
      </c:barChart>
      <c:catAx>
        <c:axId val="59189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</a:t>
                </a:r>
                <a:r>
                  <a:rPr lang="it-IT" sz="700"/>
                  <a:t>NDWI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1893695"/>
        <c:crosses val="autoZero"/>
        <c:auto val="1"/>
        <c:lblAlgn val="ctr"/>
        <c:lblOffset val="100"/>
        <c:noMultiLvlLbl val="0"/>
      </c:catAx>
      <c:valAx>
        <c:axId val="591893695"/>
        <c:scaling>
          <c:orientation val="minMax"/>
          <c:max val="1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1895135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[GEEndwiValidation.xlsx]Fig10-Final_Ts!PivotTable1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'Fig10-Final_Ts'!$B$5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'Fig10-Final_Ts'!$A$6:$A$18</c:f>
              <c:strCache>
                <c:ptCount val="12"/>
                <c:pt idx="0">
                  <c:v>-0.4</c:v>
                </c:pt>
                <c:pt idx="1">
                  <c:v>-0.35</c:v>
                </c:pt>
                <c:pt idx="2">
                  <c:v>-0.3</c:v>
                </c:pt>
                <c:pt idx="3">
                  <c:v>-0.25</c:v>
                </c:pt>
                <c:pt idx="4">
                  <c:v>-0.2</c:v>
                </c:pt>
                <c:pt idx="5">
                  <c:v>-0.175</c:v>
                </c:pt>
                <c:pt idx="6">
                  <c:v>-0.15</c:v>
                </c:pt>
                <c:pt idx="7">
                  <c:v>-0.125</c:v>
                </c:pt>
                <c:pt idx="8">
                  <c:v>-0.1</c:v>
                </c:pt>
                <c:pt idx="9">
                  <c:v>-0.075</c:v>
                </c:pt>
                <c:pt idx="10">
                  <c:v>-0.05</c:v>
                </c:pt>
                <c:pt idx="11">
                  <c:v>0</c:v>
                </c:pt>
              </c:strCache>
            </c:strRef>
          </c:cat>
          <c:val>
            <c:numRef>
              <c:f>'Fig10-Final_Ts'!$B$6:$B$18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12</c:v>
                </c:pt>
                <c:pt idx="5">
                  <c:v>1</c:v>
                </c:pt>
                <c:pt idx="6">
                  <c:v>8</c:v>
                </c:pt>
                <c:pt idx="7">
                  <c:v>1</c:v>
                </c:pt>
                <c:pt idx="8">
                  <c:v>80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1-405D-B157-9415075A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696592"/>
        <c:axId val="799698992"/>
      </c:barChart>
      <c:catAx>
        <c:axId val="799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9698992"/>
        <c:crosses val="autoZero"/>
        <c:auto val="1"/>
        <c:lblAlgn val="ctr"/>
        <c:lblOffset val="100"/>
        <c:noMultiLvlLbl val="0"/>
      </c:catAx>
      <c:valAx>
        <c:axId val="7996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Number of images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96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57150</xdr:rowOff>
    </xdr:from>
    <xdr:to>
      <xdr:col>16</xdr:col>
      <xdr:colOff>552450</xdr:colOff>
      <xdr:row>23</xdr:row>
      <xdr:rowOff>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BAF6A-5CCB-176B-D005-698DA969B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FA238-0AF4-48E8-A234-F3722B914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59175-D16A-49AB-8634-7F6591298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E2B67-F4D5-48FC-BFB8-662E2332D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D58FE-7870-434B-8D38-334977080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EA850-FCC3-4149-9BB4-03E3229B0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11</xdr:row>
      <xdr:rowOff>142875</xdr:rowOff>
    </xdr:from>
    <xdr:to>
      <xdr:col>15</xdr:col>
      <xdr:colOff>9525</xdr:colOff>
      <xdr:row>34</xdr:row>
      <xdr:rowOff>90485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80470-ADAD-4C13-885C-E11251B43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BE727-40AD-42CB-A943-DB8B4FEAA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6088A-0C2A-430A-AB87-2594F4DB2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E2C27-A887-421A-8790-80C382E41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48A78-AFD0-42CA-93C1-B88D78D2E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FD61B-2741-48EB-B7C7-6DF58F315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B6812-1548-45F2-B268-F96E8BDD5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133350</xdr:rowOff>
    </xdr:from>
    <xdr:to>
      <xdr:col>14</xdr:col>
      <xdr:colOff>381000</xdr:colOff>
      <xdr:row>25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86258-6DD1-4265-A3E7-B9266D4B5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519111</xdr:colOff>
      <xdr:row>2</xdr:row>
      <xdr:rowOff>38101</xdr:rowOff>
    </xdr:from>
    <xdr:to>
      <xdr:col>13</xdr:col>
      <xdr:colOff>428624</xdr:colOff>
      <xdr:row>14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D9EAB-AAC2-460F-9B1D-239D3A86C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166687</xdr:rowOff>
    </xdr:from>
    <xdr:to>
      <xdr:col>13</xdr:col>
      <xdr:colOff>552450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3C140-519A-4299-B1E2-6BDF05176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pa-my.sharepoint.com/personal/cicero_martinsjr_unipa_it/Documents/validation_mai25.xlsx" TargetMode="External"/><Relationship Id="rId1" Type="http://schemas.openxmlformats.org/officeDocument/2006/relationships/externalLinkPath" Target="https://unipa-my.sharepoint.com/personal/cicero_martinsjr_unipa_it/Documents/validation_mai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validation_NDWI_byImage.xlsx" TargetMode="External"/><Relationship Id="rId2" Type="http://schemas.openxmlformats.org/officeDocument/2006/relationships/externalLinkPath" Target="file:///C:\Users\Unipa\Desktop\PaperGEE_revfinal\Submission\Validation\validation_NDWI_byImage.xlsx" TargetMode="External"/><Relationship Id="rId1" Type="http://schemas.openxmlformats.org/officeDocument/2006/relationships/externalLinkPath" Target="/Users/Unipa/Desktop/PaperGEE_revfinal/Submission/Validation/validation_NDWI_byIm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gram_Fig9"/>
      <sheetName val="Final_Ts_Fig10"/>
      <sheetName val="thresholds (2)"/>
      <sheetName val="Sheet1"/>
      <sheetName val="thresholds"/>
      <sheetName val="Sheet9"/>
      <sheetName val="Planilha1"/>
      <sheetName val="Planilha2"/>
      <sheetName val="Sheet3"/>
      <sheetName val="Scatter_Rosamarina2024-25"/>
      <sheetName val="Sheet4"/>
      <sheetName val="ndwi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data</v>
          </cell>
          <cell r="B1" t="str">
            <v>type</v>
          </cell>
          <cell r="C1" t="str">
            <v>Mean Angle</v>
          </cell>
        </row>
        <row r="2">
          <cell r="A2">
            <v>45441</v>
          </cell>
          <cell r="B2" t="str">
            <v>sarThresholdAscending</v>
          </cell>
          <cell r="C2">
            <v>40.160707000000002</v>
          </cell>
        </row>
        <row r="3">
          <cell r="A3">
            <v>45453</v>
          </cell>
          <cell r="B3" t="str">
            <v>sarThresholdAscending</v>
          </cell>
          <cell r="C3">
            <v>40.152718</v>
          </cell>
        </row>
        <row r="4">
          <cell r="A4">
            <v>45465</v>
          </cell>
          <cell r="B4" t="str">
            <v>sarThresholdAscending</v>
          </cell>
          <cell r="C4">
            <v>40.153044999999999</v>
          </cell>
        </row>
        <row r="5">
          <cell r="A5">
            <v>45477</v>
          </cell>
          <cell r="B5" t="str">
            <v>sarThresholdAscending</v>
          </cell>
          <cell r="C5">
            <v>40.148474999999998</v>
          </cell>
        </row>
        <row r="6">
          <cell r="A6">
            <v>45489</v>
          </cell>
          <cell r="B6" t="str">
            <v>sarThresholdAscending</v>
          </cell>
          <cell r="C6">
            <v>40.154555000000002</v>
          </cell>
        </row>
        <row r="7">
          <cell r="A7">
            <v>45501</v>
          </cell>
          <cell r="B7" t="str">
            <v>sarThresholdAscending</v>
          </cell>
          <cell r="C7">
            <v>40.15598</v>
          </cell>
        </row>
        <row r="8">
          <cell r="A8">
            <v>45513</v>
          </cell>
          <cell r="B8" t="str">
            <v>sarThresholdAscending</v>
          </cell>
          <cell r="C8">
            <v>40.158217</v>
          </cell>
        </row>
        <row r="9">
          <cell r="A9">
            <v>45525</v>
          </cell>
          <cell r="B9" t="str">
            <v>sarThresholdAscending</v>
          </cell>
          <cell r="C9">
            <v>40.161355</v>
          </cell>
        </row>
        <row r="10">
          <cell r="A10">
            <v>45537</v>
          </cell>
          <cell r="B10" t="str">
            <v>sarThresholdAscending</v>
          </cell>
          <cell r="C10">
            <v>40.160426000000001</v>
          </cell>
        </row>
        <row r="11">
          <cell r="A11">
            <v>45549</v>
          </cell>
          <cell r="B11" t="str">
            <v>sarThresholdAscending</v>
          </cell>
          <cell r="C11">
            <v>40.171691000000003</v>
          </cell>
        </row>
        <row r="12">
          <cell r="A12">
            <v>45561</v>
          </cell>
          <cell r="B12" t="str">
            <v>sarThresholdAscending</v>
          </cell>
          <cell r="C12">
            <v>40.169790999999996</v>
          </cell>
        </row>
        <row r="13">
          <cell r="A13">
            <v>45573</v>
          </cell>
          <cell r="B13" t="str">
            <v>sarThresholdAscending</v>
          </cell>
          <cell r="C13">
            <v>40.184294000000001</v>
          </cell>
        </row>
        <row r="14">
          <cell r="A14">
            <v>45585</v>
          </cell>
          <cell r="B14" t="str">
            <v>sarThresholdAscending</v>
          </cell>
          <cell r="C14">
            <v>40.171525000000003</v>
          </cell>
        </row>
        <row r="15">
          <cell r="A15">
            <v>45597</v>
          </cell>
          <cell r="B15" t="str">
            <v>sarThresholdAscending</v>
          </cell>
          <cell r="C15">
            <v>40.163732000000003</v>
          </cell>
        </row>
        <row r="16">
          <cell r="A16">
            <v>45609</v>
          </cell>
          <cell r="B16" t="str">
            <v>sarThresholdAscending</v>
          </cell>
          <cell r="C16">
            <v>40.159765999999998</v>
          </cell>
        </row>
        <row r="17">
          <cell r="A17">
            <v>45621</v>
          </cell>
          <cell r="B17" t="str">
            <v>sarThresholdAscending</v>
          </cell>
          <cell r="C17">
            <v>40.161236000000002</v>
          </cell>
        </row>
        <row r="18">
          <cell r="A18">
            <v>45633</v>
          </cell>
          <cell r="B18" t="str">
            <v>sarThresholdAscending</v>
          </cell>
          <cell r="C18">
            <v>40.161593000000003</v>
          </cell>
        </row>
        <row r="19">
          <cell r="A19">
            <v>45645</v>
          </cell>
          <cell r="B19" t="str">
            <v>sarThresholdAscending</v>
          </cell>
          <cell r="C19">
            <v>40.156863000000001</v>
          </cell>
        </row>
        <row r="20">
          <cell r="A20">
            <v>45657</v>
          </cell>
          <cell r="B20" t="str">
            <v>sarThresholdAscending</v>
          </cell>
          <cell r="C20">
            <v>40.157024999999997</v>
          </cell>
        </row>
        <row r="21">
          <cell r="A21">
            <v>45669</v>
          </cell>
          <cell r="B21" t="str">
            <v>sarThresholdAscending</v>
          </cell>
          <cell r="C21">
            <v>40.156616999999997</v>
          </cell>
        </row>
        <row r="22">
          <cell r="A22">
            <v>45681</v>
          </cell>
          <cell r="B22" t="str">
            <v>sarThresholdAscending</v>
          </cell>
          <cell r="C22">
            <v>40.160260999999998</v>
          </cell>
        </row>
        <row r="23">
          <cell r="A23">
            <v>45693</v>
          </cell>
          <cell r="B23" t="str">
            <v>sarThresholdAscending</v>
          </cell>
          <cell r="C23">
            <v>40.167569</v>
          </cell>
        </row>
        <row r="24">
          <cell r="A24">
            <v>45705</v>
          </cell>
          <cell r="B24" t="str">
            <v>sarThresholdAscending</v>
          </cell>
          <cell r="C24">
            <v>40.165827</v>
          </cell>
        </row>
        <row r="25">
          <cell r="A25">
            <v>45717</v>
          </cell>
          <cell r="B25" t="str">
            <v>sarThresholdAscending</v>
          </cell>
          <cell r="C25">
            <v>40.165345000000002</v>
          </cell>
        </row>
        <row r="26">
          <cell r="A26">
            <v>45729</v>
          </cell>
          <cell r="B26" t="str">
            <v>sarThresholdAscending</v>
          </cell>
          <cell r="C26">
            <v>40.166854999999998</v>
          </cell>
        </row>
        <row r="27">
          <cell r="A27">
            <v>45741</v>
          </cell>
          <cell r="B27" t="str">
            <v>sarThresholdAscending</v>
          </cell>
          <cell r="C27">
            <v>40.156905999999999</v>
          </cell>
        </row>
        <row r="28">
          <cell r="A28">
            <v>45753</v>
          </cell>
          <cell r="B28" t="str">
            <v>sarThresholdAscending</v>
          </cell>
          <cell r="C28">
            <v>40.168768999999998</v>
          </cell>
        </row>
        <row r="29">
          <cell r="A29">
            <v>45765</v>
          </cell>
          <cell r="B29" t="str">
            <v>sarThresholdAscending</v>
          </cell>
          <cell r="C29">
            <v>40.162578000000003</v>
          </cell>
        </row>
        <row r="30">
          <cell r="A30">
            <v>45771</v>
          </cell>
          <cell r="B30" t="str">
            <v>sarThresholdAscending</v>
          </cell>
          <cell r="C30">
            <v>40.119238000000003</v>
          </cell>
        </row>
        <row r="31">
          <cell r="A31">
            <v>45777</v>
          </cell>
          <cell r="B31" t="str">
            <v>sarThresholdAscending</v>
          </cell>
          <cell r="C31">
            <v>40.139780000000002</v>
          </cell>
        </row>
        <row r="32">
          <cell r="A32">
            <v>45783</v>
          </cell>
          <cell r="B32" t="str">
            <v>sarThresholdAscending</v>
          </cell>
          <cell r="C32">
            <v>40.109037000000001</v>
          </cell>
        </row>
        <row r="33">
          <cell r="A33">
            <v>45789</v>
          </cell>
          <cell r="B33" t="str">
            <v>sarThresholdAscending</v>
          </cell>
          <cell r="C33">
            <v>40.158889000000002</v>
          </cell>
        </row>
        <row r="34">
          <cell r="A34">
            <v>45795</v>
          </cell>
          <cell r="B34" t="str">
            <v>sarThresholdAscending</v>
          </cell>
          <cell r="C34">
            <v>40.108356000000001</v>
          </cell>
        </row>
        <row r="35">
          <cell r="A35">
            <v>45801</v>
          </cell>
          <cell r="B35" t="str">
            <v>sarThresholdAscending</v>
          </cell>
          <cell r="C35">
            <v>40.154604999999997</v>
          </cell>
        </row>
        <row r="36">
          <cell r="A36">
            <v>45442</v>
          </cell>
          <cell r="B36" t="str">
            <v>sarThresholdDescending</v>
          </cell>
          <cell r="C36">
            <v>43.642502999999998</v>
          </cell>
        </row>
        <row r="37">
          <cell r="A37">
            <v>45447</v>
          </cell>
          <cell r="B37" t="str">
            <v>sarThresholdDescending</v>
          </cell>
          <cell r="C37">
            <v>33.297685999999999</v>
          </cell>
        </row>
        <row r="38">
          <cell r="A38">
            <v>45454</v>
          </cell>
          <cell r="B38" t="str">
            <v>sarThresholdDescending</v>
          </cell>
          <cell r="C38">
            <v>43.644061000000001</v>
          </cell>
        </row>
        <row r="39">
          <cell r="A39">
            <v>45459</v>
          </cell>
          <cell r="B39" t="str">
            <v>sarThresholdDescending</v>
          </cell>
          <cell r="C39">
            <v>33.297634000000002</v>
          </cell>
        </row>
        <row r="40">
          <cell r="A40">
            <v>45466</v>
          </cell>
          <cell r="B40" t="str">
            <v>sarThresholdDescending</v>
          </cell>
          <cell r="C40">
            <v>43.637661999999999</v>
          </cell>
        </row>
        <row r="41">
          <cell r="A41">
            <v>45478</v>
          </cell>
          <cell r="B41" t="str">
            <v>sarThresholdDescending</v>
          </cell>
          <cell r="C41">
            <v>43.641910000000003</v>
          </cell>
        </row>
        <row r="42">
          <cell r="A42">
            <v>45483</v>
          </cell>
          <cell r="B42" t="str">
            <v>sarThresholdDescending</v>
          </cell>
          <cell r="C42">
            <v>33.305554000000001</v>
          </cell>
        </row>
        <row r="43">
          <cell r="A43">
            <v>45490</v>
          </cell>
          <cell r="B43" t="str">
            <v>sarThresholdDescending</v>
          </cell>
          <cell r="C43">
            <v>43.647109999999998</v>
          </cell>
        </row>
        <row r="44">
          <cell r="A44">
            <v>45495</v>
          </cell>
          <cell r="B44" t="str">
            <v>sarThresholdDescending</v>
          </cell>
          <cell r="C44">
            <v>33.304490000000001</v>
          </cell>
        </row>
        <row r="45">
          <cell r="A45">
            <v>45502</v>
          </cell>
          <cell r="B45" t="str">
            <v>sarThresholdDescending</v>
          </cell>
          <cell r="C45">
            <v>43.649985000000001</v>
          </cell>
        </row>
        <row r="46">
          <cell r="A46">
            <v>45507</v>
          </cell>
          <cell r="B46" t="str">
            <v>sarThresholdDescending</v>
          </cell>
          <cell r="C46">
            <v>33.302498999999997</v>
          </cell>
        </row>
        <row r="47">
          <cell r="A47">
            <v>45514</v>
          </cell>
          <cell r="B47" t="str">
            <v>sarThresholdDescending</v>
          </cell>
          <cell r="C47">
            <v>43.652456999999998</v>
          </cell>
        </row>
        <row r="48">
          <cell r="A48">
            <v>45519</v>
          </cell>
          <cell r="B48" t="str">
            <v>sarThresholdDescending</v>
          </cell>
          <cell r="C48">
            <v>33.317543000000001</v>
          </cell>
        </row>
        <row r="49">
          <cell r="A49">
            <v>45526</v>
          </cell>
          <cell r="B49" t="str">
            <v>sarThresholdDescending</v>
          </cell>
          <cell r="C49">
            <v>43.649897000000003</v>
          </cell>
        </row>
        <row r="50">
          <cell r="A50">
            <v>45531</v>
          </cell>
          <cell r="B50" t="str">
            <v>sarThresholdDescending</v>
          </cell>
          <cell r="C50">
            <v>33.315420000000003</v>
          </cell>
        </row>
        <row r="51">
          <cell r="A51">
            <v>45538</v>
          </cell>
          <cell r="B51" t="str">
            <v>sarThresholdDescending</v>
          </cell>
          <cell r="C51">
            <v>43.654001999999998</v>
          </cell>
        </row>
        <row r="52">
          <cell r="A52">
            <v>45543</v>
          </cell>
          <cell r="B52" t="str">
            <v>sarThresholdDescending</v>
          </cell>
          <cell r="C52">
            <v>33.316687999999999</v>
          </cell>
        </row>
        <row r="53">
          <cell r="A53">
            <v>45550</v>
          </cell>
          <cell r="B53" t="str">
            <v>sarThresholdDescending</v>
          </cell>
          <cell r="C53">
            <v>43.648176999999997</v>
          </cell>
        </row>
        <row r="54">
          <cell r="A54">
            <v>45555</v>
          </cell>
          <cell r="B54" t="str">
            <v>sarThresholdDescending</v>
          </cell>
          <cell r="C54">
            <v>33.318199999999997</v>
          </cell>
        </row>
        <row r="55">
          <cell r="A55">
            <v>45562</v>
          </cell>
          <cell r="B55" t="str">
            <v>sarThresholdDescending</v>
          </cell>
          <cell r="C55">
            <v>43.659616</v>
          </cell>
        </row>
        <row r="56">
          <cell r="A56">
            <v>45567</v>
          </cell>
          <cell r="B56" t="str">
            <v>sarThresholdDescending</v>
          </cell>
          <cell r="C56">
            <v>33.324520999999997</v>
          </cell>
        </row>
        <row r="57">
          <cell r="A57">
            <v>45574</v>
          </cell>
          <cell r="B57" t="str">
            <v>sarThresholdDescending</v>
          </cell>
          <cell r="C57">
            <v>43.645100999999997</v>
          </cell>
        </row>
        <row r="58">
          <cell r="A58">
            <v>45579</v>
          </cell>
          <cell r="B58" t="str">
            <v>sarThresholdDescending</v>
          </cell>
          <cell r="C58">
            <v>33.319898999999999</v>
          </cell>
        </row>
        <row r="59">
          <cell r="A59">
            <v>45586</v>
          </cell>
          <cell r="B59" t="str">
            <v>sarThresholdDescending</v>
          </cell>
          <cell r="C59">
            <v>43.649686000000003</v>
          </cell>
        </row>
        <row r="60">
          <cell r="A60">
            <v>45591</v>
          </cell>
          <cell r="B60" t="str">
            <v>sarThresholdDescending</v>
          </cell>
          <cell r="C60">
            <v>33.328992</v>
          </cell>
        </row>
        <row r="61">
          <cell r="A61">
            <v>45598</v>
          </cell>
          <cell r="B61" t="str">
            <v>sarThresholdDescending</v>
          </cell>
          <cell r="C61">
            <v>43.647852999999998</v>
          </cell>
        </row>
        <row r="62">
          <cell r="A62">
            <v>45603</v>
          </cell>
          <cell r="B62" t="str">
            <v>sarThresholdDescending</v>
          </cell>
          <cell r="C62">
            <v>33.317410000000002</v>
          </cell>
        </row>
        <row r="63">
          <cell r="A63">
            <v>45610</v>
          </cell>
          <cell r="B63" t="str">
            <v>sarThresholdDescending</v>
          </cell>
          <cell r="C63">
            <v>43.647643000000002</v>
          </cell>
        </row>
        <row r="64">
          <cell r="A64">
            <v>45615</v>
          </cell>
          <cell r="B64" t="str">
            <v>sarThresholdDescending</v>
          </cell>
          <cell r="C64">
            <v>33.308472000000002</v>
          </cell>
        </row>
        <row r="65">
          <cell r="A65">
            <v>45622</v>
          </cell>
          <cell r="B65" t="str">
            <v>sarThresholdDescending</v>
          </cell>
          <cell r="C65">
            <v>43.650557999999997</v>
          </cell>
        </row>
        <row r="66">
          <cell r="A66">
            <v>45634</v>
          </cell>
          <cell r="B66" t="str">
            <v>sarThresholdDescending</v>
          </cell>
          <cell r="C66">
            <v>43.646557000000001</v>
          </cell>
        </row>
        <row r="67">
          <cell r="A67">
            <v>45639</v>
          </cell>
          <cell r="B67" t="str">
            <v>sarThresholdDescending</v>
          </cell>
          <cell r="C67">
            <v>33.301682</v>
          </cell>
        </row>
        <row r="68">
          <cell r="A68">
            <v>45646</v>
          </cell>
          <cell r="B68" t="str">
            <v>sarThresholdDescending</v>
          </cell>
          <cell r="C68">
            <v>43.646973000000003</v>
          </cell>
        </row>
        <row r="69">
          <cell r="A69">
            <v>45651</v>
          </cell>
          <cell r="B69" t="str">
            <v>sarThresholdDescending</v>
          </cell>
          <cell r="C69">
            <v>33.314649000000003</v>
          </cell>
        </row>
        <row r="70">
          <cell r="A70">
            <v>45658</v>
          </cell>
          <cell r="B70" t="str">
            <v>sarThresholdDescending</v>
          </cell>
          <cell r="C70">
            <v>43.643045999999998</v>
          </cell>
        </row>
        <row r="71">
          <cell r="A71">
            <v>45663</v>
          </cell>
          <cell r="B71" t="str">
            <v>sarThresholdDescending</v>
          </cell>
          <cell r="C71">
            <v>33.311813999999998</v>
          </cell>
        </row>
        <row r="72">
          <cell r="A72">
            <v>45670</v>
          </cell>
          <cell r="B72" t="str">
            <v>sarThresholdDescending</v>
          </cell>
          <cell r="C72">
            <v>43.643495999999999</v>
          </cell>
        </row>
        <row r="73">
          <cell r="A73">
            <v>45675</v>
          </cell>
          <cell r="B73" t="str">
            <v>sarThresholdDescending</v>
          </cell>
          <cell r="C73">
            <v>33.314208000000001</v>
          </cell>
        </row>
        <row r="74">
          <cell r="A74">
            <v>45682</v>
          </cell>
          <cell r="B74" t="str">
            <v>sarThresholdDescending</v>
          </cell>
          <cell r="C74">
            <v>43.648944999999998</v>
          </cell>
        </row>
        <row r="75">
          <cell r="A75">
            <v>45687</v>
          </cell>
          <cell r="B75" t="str">
            <v>sarThresholdDescending</v>
          </cell>
          <cell r="C75">
            <v>33.308694000000003</v>
          </cell>
        </row>
        <row r="76">
          <cell r="A76">
            <v>45694</v>
          </cell>
          <cell r="B76" t="str">
            <v>sarThresholdDescending</v>
          </cell>
          <cell r="C76">
            <v>43.649585000000002</v>
          </cell>
        </row>
        <row r="77">
          <cell r="A77">
            <v>45699</v>
          </cell>
          <cell r="B77" t="str">
            <v>sarThresholdDescending</v>
          </cell>
          <cell r="C77">
            <v>33.309437000000003</v>
          </cell>
        </row>
        <row r="78">
          <cell r="A78">
            <v>45706</v>
          </cell>
          <cell r="B78" t="str">
            <v>sarThresholdDescending</v>
          </cell>
          <cell r="C78">
            <v>43.654865000000001</v>
          </cell>
        </row>
        <row r="79">
          <cell r="A79">
            <v>45711</v>
          </cell>
          <cell r="B79" t="str">
            <v>sarThresholdDescending</v>
          </cell>
          <cell r="C79">
            <v>33.320095999999999</v>
          </cell>
        </row>
        <row r="80">
          <cell r="A80">
            <v>45718</v>
          </cell>
          <cell r="B80" t="str">
            <v>sarThresholdDescending</v>
          </cell>
          <cell r="C80">
            <v>43.649765000000002</v>
          </cell>
        </row>
        <row r="81">
          <cell r="A81">
            <v>45723</v>
          </cell>
          <cell r="B81" t="str">
            <v>sarThresholdDescending</v>
          </cell>
          <cell r="C81">
            <v>33.320242</v>
          </cell>
        </row>
        <row r="82">
          <cell r="A82">
            <v>45730</v>
          </cell>
          <cell r="B82" t="str">
            <v>sarThresholdDescending</v>
          </cell>
          <cell r="C82">
            <v>43.647705000000002</v>
          </cell>
        </row>
        <row r="83">
          <cell r="A83">
            <v>45735</v>
          </cell>
          <cell r="B83" t="str">
            <v>sarThresholdDescending</v>
          </cell>
          <cell r="C83">
            <v>33.317875000000001</v>
          </cell>
        </row>
        <row r="84">
          <cell r="A84">
            <v>45742</v>
          </cell>
          <cell r="B84" t="str">
            <v>sarThresholdDescending</v>
          </cell>
          <cell r="C84">
            <v>43.658737000000002</v>
          </cell>
        </row>
        <row r="85">
          <cell r="A85">
            <v>45747</v>
          </cell>
          <cell r="B85" t="str">
            <v>sarThresholdDescending</v>
          </cell>
          <cell r="C85">
            <v>33.305714999999999</v>
          </cell>
        </row>
        <row r="86">
          <cell r="A86">
            <v>45753</v>
          </cell>
          <cell r="B86" t="str">
            <v>sarThresholdDescending</v>
          </cell>
          <cell r="C86">
            <v>33.355001999999999</v>
          </cell>
        </row>
        <row r="87">
          <cell r="A87">
            <v>45754</v>
          </cell>
          <cell r="B87" t="str">
            <v>sarThresholdDescending</v>
          </cell>
          <cell r="C87">
            <v>43.649560999999999</v>
          </cell>
        </row>
        <row r="88">
          <cell r="A88">
            <v>45759</v>
          </cell>
          <cell r="B88" t="str">
            <v>sarThresholdDescending</v>
          </cell>
          <cell r="C88">
            <v>33.315443000000002</v>
          </cell>
        </row>
        <row r="89">
          <cell r="A89">
            <v>45765</v>
          </cell>
          <cell r="B89" t="str">
            <v>sarThresholdDescending</v>
          </cell>
          <cell r="C89">
            <v>33.357807999999999</v>
          </cell>
        </row>
        <row r="90">
          <cell r="A90">
            <v>45766</v>
          </cell>
          <cell r="B90" t="str">
            <v>sarThresholdDescending</v>
          </cell>
          <cell r="C90">
            <v>43.650385</v>
          </cell>
        </row>
        <row r="91">
          <cell r="A91">
            <v>45771</v>
          </cell>
          <cell r="B91" t="str">
            <v>sarThresholdDescending</v>
          </cell>
          <cell r="C91">
            <v>33.309305999999999</v>
          </cell>
        </row>
        <row r="92">
          <cell r="A92">
            <v>45772</v>
          </cell>
          <cell r="B92" t="str">
            <v>sarThresholdDescending</v>
          </cell>
          <cell r="C92">
            <v>43.615461000000003</v>
          </cell>
        </row>
        <row r="93">
          <cell r="A93">
            <v>45777</v>
          </cell>
          <cell r="B93" t="str">
            <v>sarThresholdDescending</v>
          </cell>
          <cell r="C93">
            <v>33.362045999999999</v>
          </cell>
        </row>
        <row r="94">
          <cell r="A94">
            <v>45778</v>
          </cell>
          <cell r="B94" t="str">
            <v>sarThresholdDescending</v>
          </cell>
          <cell r="C94">
            <v>43.620539000000001</v>
          </cell>
        </row>
        <row r="95">
          <cell r="A95">
            <v>45783</v>
          </cell>
          <cell r="B95" t="str">
            <v>sarThresholdDescending</v>
          </cell>
          <cell r="C95">
            <v>33.307532999999999</v>
          </cell>
        </row>
        <row r="96">
          <cell r="A96">
            <v>45784</v>
          </cell>
          <cell r="B96" t="str">
            <v>sarThresholdDescending</v>
          </cell>
          <cell r="C96">
            <v>43.882292</v>
          </cell>
        </row>
        <row r="97">
          <cell r="A97">
            <v>45789</v>
          </cell>
          <cell r="B97" t="str">
            <v>sarThresholdDescending</v>
          </cell>
          <cell r="C97">
            <v>33.416497999999997</v>
          </cell>
        </row>
        <row r="98">
          <cell r="A98">
            <v>45790</v>
          </cell>
          <cell r="B98" t="str">
            <v>sarThresholdDescending</v>
          </cell>
          <cell r="C98">
            <v>43.638669</v>
          </cell>
        </row>
        <row r="99">
          <cell r="A99">
            <v>45795</v>
          </cell>
          <cell r="B99" t="str">
            <v>sarThresholdDescending</v>
          </cell>
          <cell r="C99">
            <v>33.305064000000002</v>
          </cell>
        </row>
        <row r="100">
          <cell r="A100">
            <v>45796</v>
          </cell>
          <cell r="B100" t="str">
            <v>sarThresholdDescending</v>
          </cell>
          <cell r="C100">
            <v>43.881084999999999</v>
          </cell>
        </row>
        <row r="101">
          <cell r="A101">
            <v>45801</v>
          </cell>
          <cell r="B101" t="str">
            <v>sarThresholdDescending</v>
          </cell>
          <cell r="C101">
            <v>33.299238000000003</v>
          </cell>
        </row>
        <row r="102">
          <cell r="A102">
            <v>45802</v>
          </cell>
          <cell r="B102" t="str">
            <v>sarThresholdDescending</v>
          </cell>
          <cell r="C102">
            <v>43.637743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g9-Histogram"/>
      <sheetName val="Fig10-Final_Ts"/>
      <sheetName val="ChosenNDWI"/>
    </sheetNames>
    <sheetDataSet>
      <sheetData sheetId="0">
        <row r="1">
          <cell r="B1" t="str">
            <v>Count of threshold</v>
          </cell>
        </row>
        <row r="5">
          <cell r="A5">
            <v>-0.25</v>
          </cell>
          <cell r="B5">
            <v>0.94350000000000001</v>
          </cell>
        </row>
        <row r="6">
          <cell r="A6">
            <v>-0.2</v>
          </cell>
          <cell r="B6">
            <v>0.98460000000000003</v>
          </cell>
        </row>
        <row r="7">
          <cell r="A7">
            <v>-0.15</v>
          </cell>
          <cell r="B7">
            <v>0.99529999999999996</v>
          </cell>
        </row>
        <row r="8">
          <cell r="A8">
            <v>-0.1</v>
          </cell>
          <cell r="B8">
            <v>0.99539999999999995</v>
          </cell>
        </row>
        <row r="9">
          <cell r="A9">
            <v>-0.05</v>
          </cell>
          <cell r="B9">
            <v>0.98660000000000003</v>
          </cell>
        </row>
        <row r="10">
          <cell r="A10">
            <v>0</v>
          </cell>
          <cell r="B10">
            <v>0.96799999999999997</v>
          </cell>
        </row>
        <row r="11">
          <cell r="A11">
            <v>0.05</v>
          </cell>
          <cell r="B11">
            <v>0.96509999999999996</v>
          </cell>
        </row>
        <row r="12">
          <cell r="A12">
            <v>0.1</v>
          </cell>
          <cell r="B12">
            <v>0.96399999999999997</v>
          </cell>
        </row>
        <row r="13">
          <cell r="A13">
            <v>0.15</v>
          </cell>
          <cell r="B13">
            <v>0.96319999999999995</v>
          </cell>
        </row>
        <row r="14">
          <cell r="A14">
            <v>0.2</v>
          </cell>
          <cell r="B14">
            <v>0.95899999999999996</v>
          </cell>
        </row>
      </sheetData>
      <sheetData sheetId="1" refreshError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nipa/Desktop/PaperGEE_revfinal/Submission/Validation/validation_NDWI_byImag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ipa" refreshedDate="45905.433085069446" createdVersion="8" refreshedVersion="8" minRefreshableVersion="3" recordCount="238" xr:uid="{5B3C45A1-1029-4F85-BAEF-76840C5F4949}">
  <cacheSource type="worksheet">
    <worksheetSource name="TndwiTotal" r:id="rId2"/>
  </cacheSource>
  <cacheFields count="10">
    <cacheField name="data" numFmtId="0">
      <sharedItems containsSemiMixedTypes="0" containsNonDate="0" containsDate="1" containsString="0" minDate="2022-09-01T00:00:00" maxDate="2025-05-31T00:00:00" count="138">
        <d v="2025-03-14T00:00:00"/>
        <d v="2025-04-29T00:00:00"/>
        <d v="2025-02-23T00:00:00"/>
        <d v="2025-04-18T00:00:00"/>
        <d v="2025-04-23T00:00:00"/>
        <d v="2025-05-07T00:00:00"/>
        <d v="2025-03-21T00:00:00"/>
        <d v="2025-01-10T00:00:00"/>
        <d v="2025-01-21T00:00:00"/>
        <d v="2025-05-11T00:00:00"/>
        <d v="2024-06-22T00:00:00"/>
        <d v="2024-04-29T00:00:00"/>
        <d v="2024-05-05T00:00:00"/>
        <d v="2024-06-23T00:00:00"/>
        <d v="2024-07-17T00:00:00"/>
        <d v="2025-04-24T00:00:00"/>
        <d v="2024-05-29T00:00:00"/>
        <d v="2025-04-25T00:00:00"/>
        <d v="2024-06-10T00:00:00"/>
        <d v="2024-07-04T00:00:00"/>
        <d v="2024-07-16T00:00:00"/>
        <d v="2024-07-28T00:00:00"/>
        <d v="2024-08-09T00:00:00"/>
        <d v="2024-08-21T00:00:00"/>
        <d v="2024-09-02T00:00:00"/>
        <d v="2024-09-14T00:00:00"/>
        <d v="2024-09-26T00:00:00"/>
        <d v="2024-10-08T00:00:00"/>
        <d v="2024-10-20T00:00:00"/>
        <d v="2024-11-01T00:00:00"/>
        <d v="2024-11-13T00:00:00"/>
        <d v="2024-11-25T00:00:00"/>
        <d v="2024-12-07T00:00:00"/>
        <d v="2024-12-19T00:00:00"/>
        <d v="2024-12-31T00:00:00"/>
        <d v="2025-01-12T00:00:00"/>
        <d v="2025-01-24T00:00:00"/>
        <d v="2025-02-05T00:00:00"/>
        <d v="2025-02-17T00:00:00"/>
        <d v="2025-03-01T00:00:00"/>
        <d v="2025-03-13T00:00:00"/>
        <d v="2025-03-25T00:00:00"/>
        <d v="2025-04-06T00:00:00"/>
        <d v="2025-04-30T00:00:00"/>
        <d v="2025-05-06T00:00:00"/>
        <d v="2025-05-12T00:00:00"/>
        <d v="2025-05-18T00:00:00"/>
        <d v="2025-05-24T00:00:00"/>
        <d v="2024-05-30T00:00:00"/>
        <d v="2024-06-04T00:00:00"/>
        <d v="2024-06-11T00:00:00"/>
        <d v="2024-06-16T00:00:00"/>
        <d v="2024-07-05T00:00:00"/>
        <d v="2024-07-10T00:00:00"/>
        <d v="2024-07-22T00:00:00"/>
        <d v="2024-07-29T00:00:00"/>
        <d v="2024-08-03T00:00:00"/>
        <d v="2024-08-10T00:00:00"/>
        <d v="2024-08-15T00:00:00"/>
        <d v="2024-08-22T00:00:00"/>
        <d v="2024-08-27T00:00:00"/>
        <d v="2024-09-03T00:00:00"/>
        <d v="2024-09-08T00:00:00"/>
        <d v="2024-09-15T00:00:00"/>
        <d v="2024-09-20T00:00:00"/>
        <d v="2024-09-27T00:00:00"/>
        <d v="2024-10-02T00:00:00"/>
        <d v="2024-10-09T00:00:00"/>
        <d v="2024-10-14T00:00:00"/>
        <d v="2024-10-21T00:00:00"/>
        <d v="2024-10-26T00:00:00"/>
        <d v="2024-11-02T00:00:00"/>
        <d v="2024-11-07T00:00:00"/>
        <d v="2024-11-14T00:00:00"/>
        <d v="2024-11-19T00:00:00"/>
        <d v="2024-11-26T00:00:00"/>
        <d v="2024-12-08T00:00:00"/>
        <d v="2024-12-13T00:00:00"/>
        <d v="2024-12-20T00:00:00"/>
        <d v="2024-12-25T00:00:00"/>
        <d v="2025-01-01T00:00:00"/>
        <d v="2025-01-06T00:00:00"/>
        <d v="2025-01-13T00:00:00"/>
        <d v="2025-01-18T00:00:00"/>
        <d v="2025-01-25T00:00:00"/>
        <d v="2025-01-30T00:00:00"/>
        <d v="2025-02-06T00:00:00"/>
        <d v="2025-02-11T00:00:00"/>
        <d v="2025-02-18T00:00:00"/>
        <d v="2025-03-02T00:00:00"/>
        <d v="2025-03-07T00:00:00"/>
        <d v="2025-03-19T00:00:00"/>
        <d v="2025-03-26T00:00:00"/>
        <d v="2025-03-31T00:00:00"/>
        <d v="2025-04-07T00:00:00"/>
        <d v="2025-04-12T00:00:00"/>
        <d v="2025-04-19T00:00:00"/>
        <d v="2025-05-01T00:00:00"/>
        <d v="2025-05-13T00:00:00"/>
        <d v="2025-05-19T00:00:00"/>
        <d v="2025-05-25T00:00:00"/>
        <d v="2025-05-30T00:00:00"/>
        <d v="2022-09-01T00:00:00"/>
        <d v="2024-06-24T00:00:00"/>
        <d v="2024-11-06T00:00:00"/>
        <d v="2024-11-18T00:00:00"/>
        <d v="2024-12-12T00:00:00"/>
        <d v="2025-01-05T00:00:00"/>
        <d v="2024-05-24T00:00:00"/>
        <d v="2024-06-02T00:00:00"/>
        <d v="2024-05-03T00:00:00"/>
        <d v="2024-05-17T00:00:00"/>
        <d v="2024-05-23T00:00:00"/>
        <d v="2024-06-06T00:00:00"/>
        <d v="2024-06-14T00:00:00"/>
        <d v="2025-05-29T00:00:00"/>
        <d v="2024-04-20T00:00:00"/>
        <d v="2024-08-07T00:00:00"/>
        <d v="2024-05-28T00:00:00"/>
        <d v="2024-09-06T00:00:00"/>
        <d v="2024-10-28T00:00:00"/>
        <d v="2024-11-27T00:00:00"/>
        <d v="2024-12-22T00:00:00"/>
        <d v="2025-02-12T00:00:00"/>
        <d v="2024-12-27T00:00:00"/>
        <d v="2023-09-03T00:00:00"/>
        <d v="2024-06-15T00:00:00"/>
        <d v="2024-06-29T00:00:00"/>
        <d v="2024-07-03T00:00:00"/>
        <d v="2024-08-14T00:00:00"/>
        <d v="2024-10-13T00:00:00"/>
        <d v="2024-12-30T00:00:00"/>
        <d v="2025-02-24T00:00:00"/>
        <d v="2025-03-09T00:00:00"/>
        <d v="2025-04-04T00:00:00"/>
        <d v="2025-04-15T00:00:00"/>
        <d v="2025-05-10T00:00:00"/>
        <d v="2025-05-26T00:00:00"/>
      </sharedItems>
      <fieldGroup par="9"/>
    </cacheField>
    <cacheField name="threshold" numFmtId="0">
      <sharedItems containsSemiMixedTypes="0" containsString="0" containsNumber="1" minValue="-0.4" maxValue="17" count="13">
        <n v="-0.4"/>
        <n v="-0.35"/>
        <n v="-0.3"/>
        <n v="-0.25"/>
        <n v="-0.2"/>
        <n v="-0.17499999999999999"/>
        <n v="-0.15"/>
        <n v="17"/>
        <n v="-0.125"/>
        <n v="-0.1"/>
        <n v="-7.4999999999999997E-2"/>
        <n v="-0.05"/>
        <n v="0"/>
      </sharedItems>
    </cacheField>
    <cacheField name="tipo" numFmtId="0">
      <sharedItems count="3">
        <s v="planetNdwi"/>
        <s v="sarThresholdDescending"/>
        <s v="sarThresholdAscending"/>
      </sharedItems>
    </cacheField>
    <cacheField name="Area (ha)" numFmtId="0">
      <sharedItems containsSemiMixedTypes="0" containsString="0" containsNumber="1" minValue="5.3117999999999999" maxValue="487.3725"/>
    </cacheField>
    <cacheField name="finalNDWI" numFmtId="0">
      <sharedItems containsBlank="1" count="3">
        <s v="sim"/>
        <m/>
        <s v="nao"/>
      </sharedItems>
    </cacheField>
    <cacheField name="usar" numFmtId="0">
      <sharedItems containsBlank="1" count="2">
        <m/>
        <s v="nao"/>
      </sharedItems>
    </cacheField>
    <cacheField name="obs" numFmtId="0">
      <sharedItems containsBlank="1"/>
    </cacheField>
    <cacheField name="Months (data)" numFmtId="0" databaseField="0">
      <fieldGroup base="0">
        <rangePr groupBy="months" startDate="2022-09-01T00:00:00" endDate="2025-05-31T00:00:00"/>
        <groupItems count="14">
          <s v="&lt;9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5"/>
        </groupItems>
      </fieldGroup>
    </cacheField>
    <cacheField name="Quarters (data)" numFmtId="0" databaseField="0">
      <fieldGroup base="0">
        <rangePr groupBy="quarters" startDate="2022-09-01T00:00:00" endDate="2025-05-31T00:00:00"/>
        <groupItems count="6">
          <s v="&lt;9/1/2022"/>
          <s v="Qtr1"/>
          <s v="Qtr2"/>
          <s v="Qtr3"/>
          <s v="Qtr4"/>
          <s v="&gt;5/31/2025"/>
        </groupItems>
      </fieldGroup>
    </cacheField>
    <cacheField name="Years (data)" numFmtId="0" databaseField="0">
      <fieldGroup base="0">
        <rangePr groupBy="years" startDate="2022-09-01T00:00:00" endDate="2025-05-31T00:00:00"/>
        <groupItems count="6">
          <s v="&lt;9/1/2022"/>
          <s v="2022"/>
          <s v="2023"/>
          <s v="2024"/>
          <s v="2025"/>
          <s v="&gt;5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x v="0"/>
    <n v="480.16070000000002"/>
    <x v="0"/>
    <x v="0"/>
    <s v="algas/macrofitas na superficie reduz o resultado"/>
  </r>
  <r>
    <x v="1"/>
    <x v="1"/>
    <x v="0"/>
    <n v="110.07250000000001"/>
    <x v="0"/>
    <x v="0"/>
    <m/>
  </r>
  <r>
    <x v="2"/>
    <x v="2"/>
    <x v="0"/>
    <n v="485.28583700000001"/>
    <x v="0"/>
    <x v="0"/>
    <m/>
  </r>
  <r>
    <x v="3"/>
    <x v="3"/>
    <x v="0"/>
    <n v="114.8202"/>
    <x v="0"/>
    <x v="0"/>
    <m/>
  </r>
  <r>
    <x v="0"/>
    <x v="4"/>
    <x v="0"/>
    <n v="153.95939999999999"/>
    <x v="0"/>
    <x v="0"/>
    <s v="Threshold alterado, devido imagem ofuscada (sciroco?)"/>
  </r>
  <r>
    <x v="4"/>
    <x v="4"/>
    <x v="0"/>
    <n v="170.35919999999999"/>
    <x v="0"/>
    <x v="0"/>
    <s v="religado JRC, mantido -0.2"/>
  </r>
  <r>
    <x v="5"/>
    <x v="4"/>
    <x v="0"/>
    <n v="171.9306"/>
    <x v="0"/>
    <x v="0"/>
    <m/>
  </r>
  <r>
    <x v="2"/>
    <x v="4"/>
    <x v="0"/>
    <n v="120.35267"/>
    <x v="0"/>
    <x v="0"/>
    <m/>
  </r>
  <r>
    <x v="0"/>
    <x v="4"/>
    <x v="0"/>
    <n v="116.79898"/>
    <x v="0"/>
    <x v="0"/>
    <m/>
  </r>
  <r>
    <x v="6"/>
    <x v="4"/>
    <x v="0"/>
    <n v="120.91618"/>
    <x v="0"/>
    <x v="0"/>
    <m/>
  </r>
  <r>
    <x v="7"/>
    <x v="4"/>
    <x v="0"/>
    <n v="346.3965"/>
    <x v="0"/>
    <x v="0"/>
    <m/>
  </r>
  <r>
    <x v="8"/>
    <x v="4"/>
    <x v="0"/>
    <n v="421.59059999999999"/>
    <x v="0"/>
    <x v="0"/>
    <s v="algas/macrofitas na superficie reduz o resultado"/>
  </r>
  <r>
    <x v="3"/>
    <x v="4"/>
    <x v="0"/>
    <n v="487.3725"/>
    <x v="0"/>
    <x v="0"/>
    <m/>
  </r>
  <r>
    <x v="9"/>
    <x v="4"/>
    <x v="0"/>
    <n v="485.33940000000001"/>
    <x v="0"/>
    <x v="0"/>
    <m/>
  </r>
  <r>
    <x v="10"/>
    <x v="5"/>
    <x v="0"/>
    <n v="156.27959999999999"/>
    <x v="0"/>
    <x v="0"/>
    <m/>
  </r>
  <r>
    <x v="11"/>
    <x v="6"/>
    <x v="0"/>
    <n v="60.31812"/>
    <x v="0"/>
    <x v="0"/>
    <s v="inserido poligono aoi ancipa (retirar barragem com ndwi similar agua)"/>
  </r>
  <r>
    <x v="12"/>
    <x v="6"/>
    <x v="0"/>
    <n v="61.222000000000001"/>
    <x v="0"/>
    <x v="0"/>
    <m/>
  </r>
  <r>
    <x v="13"/>
    <x v="6"/>
    <x v="0"/>
    <n v="49.295090000000002"/>
    <x v="0"/>
    <x v="0"/>
    <m/>
  </r>
  <r>
    <x v="14"/>
    <x v="6"/>
    <x v="0"/>
    <n v="41.86101"/>
    <x v="0"/>
    <x v="0"/>
    <m/>
  </r>
  <r>
    <x v="15"/>
    <x v="7"/>
    <x v="1"/>
    <n v="154.26"/>
    <x v="1"/>
    <x v="0"/>
    <m/>
  </r>
  <r>
    <x v="16"/>
    <x v="7"/>
    <x v="2"/>
    <n v="145.76"/>
    <x v="1"/>
    <x v="0"/>
    <m/>
  </r>
  <r>
    <x v="17"/>
    <x v="7"/>
    <x v="1"/>
    <n v="168.8"/>
    <x v="1"/>
    <x v="0"/>
    <m/>
  </r>
  <r>
    <x v="18"/>
    <x v="7"/>
    <x v="2"/>
    <n v="143.43"/>
    <x v="1"/>
    <x v="0"/>
    <m/>
  </r>
  <r>
    <x v="10"/>
    <x v="7"/>
    <x v="2"/>
    <n v="144.06"/>
    <x v="1"/>
    <x v="0"/>
    <m/>
  </r>
  <r>
    <x v="19"/>
    <x v="7"/>
    <x v="2"/>
    <n v="140.71"/>
    <x v="1"/>
    <x v="0"/>
    <m/>
  </r>
  <r>
    <x v="20"/>
    <x v="7"/>
    <x v="2"/>
    <n v="133.53"/>
    <x v="1"/>
    <x v="0"/>
    <m/>
  </r>
  <r>
    <x v="21"/>
    <x v="7"/>
    <x v="2"/>
    <n v="136.38999999999999"/>
    <x v="1"/>
    <x v="0"/>
    <m/>
  </r>
  <r>
    <x v="22"/>
    <x v="7"/>
    <x v="2"/>
    <n v="134.38999999999999"/>
    <x v="1"/>
    <x v="0"/>
    <m/>
  </r>
  <r>
    <x v="23"/>
    <x v="7"/>
    <x v="2"/>
    <n v="133.19"/>
    <x v="1"/>
    <x v="0"/>
    <m/>
  </r>
  <r>
    <x v="24"/>
    <x v="7"/>
    <x v="2"/>
    <n v="133.47"/>
    <x v="1"/>
    <x v="0"/>
    <m/>
  </r>
  <r>
    <x v="25"/>
    <x v="7"/>
    <x v="2"/>
    <n v="126.77"/>
    <x v="1"/>
    <x v="0"/>
    <m/>
  </r>
  <r>
    <x v="26"/>
    <x v="7"/>
    <x v="2"/>
    <n v="130.75"/>
    <x v="1"/>
    <x v="0"/>
    <m/>
  </r>
  <r>
    <x v="27"/>
    <x v="7"/>
    <x v="2"/>
    <n v="92.05"/>
    <x v="1"/>
    <x v="0"/>
    <m/>
  </r>
  <r>
    <x v="28"/>
    <x v="7"/>
    <x v="2"/>
    <n v="116.96"/>
    <x v="1"/>
    <x v="0"/>
    <m/>
  </r>
  <r>
    <x v="29"/>
    <x v="7"/>
    <x v="2"/>
    <n v="114.62"/>
    <x v="1"/>
    <x v="0"/>
    <m/>
  </r>
  <r>
    <x v="30"/>
    <x v="7"/>
    <x v="2"/>
    <n v="106.34"/>
    <x v="1"/>
    <x v="0"/>
    <m/>
  </r>
  <r>
    <x v="31"/>
    <x v="7"/>
    <x v="2"/>
    <n v="107.69"/>
    <x v="1"/>
    <x v="0"/>
    <m/>
  </r>
  <r>
    <x v="32"/>
    <x v="7"/>
    <x v="2"/>
    <n v="108.05"/>
    <x v="1"/>
    <x v="0"/>
    <m/>
  </r>
  <r>
    <x v="33"/>
    <x v="7"/>
    <x v="2"/>
    <n v="109.31"/>
    <x v="1"/>
    <x v="0"/>
    <m/>
  </r>
  <r>
    <x v="34"/>
    <x v="7"/>
    <x v="2"/>
    <n v="106.25"/>
    <x v="1"/>
    <x v="0"/>
    <m/>
  </r>
  <r>
    <x v="35"/>
    <x v="7"/>
    <x v="2"/>
    <n v="98.77"/>
    <x v="1"/>
    <x v="0"/>
    <m/>
  </r>
  <r>
    <x v="36"/>
    <x v="7"/>
    <x v="2"/>
    <n v="125.52"/>
    <x v="1"/>
    <x v="0"/>
    <m/>
  </r>
  <r>
    <x v="37"/>
    <x v="7"/>
    <x v="2"/>
    <n v="127.5"/>
    <x v="1"/>
    <x v="0"/>
    <m/>
  </r>
  <r>
    <x v="38"/>
    <x v="7"/>
    <x v="2"/>
    <n v="140.01"/>
    <x v="1"/>
    <x v="0"/>
    <m/>
  </r>
  <r>
    <x v="39"/>
    <x v="7"/>
    <x v="2"/>
    <n v="141.18"/>
    <x v="1"/>
    <x v="0"/>
    <m/>
  </r>
  <r>
    <x v="40"/>
    <x v="7"/>
    <x v="2"/>
    <n v="130.56"/>
    <x v="1"/>
    <x v="0"/>
    <m/>
  </r>
  <r>
    <x v="41"/>
    <x v="7"/>
    <x v="2"/>
    <n v="143.61000000000001"/>
    <x v="1"/>
    <x v="0"/>
    <m/>
  </r>
  <r>
    <x v="42"/>
    <x v="7"/>
    <x v="2"/>
    <n v="151.99"/>
    <x v="1"/>
    <x v="0"/>
    <m/>
  </r>
  <r>
    <x v="3"/>
    <x v="7"/>
    <x v="2"/>
    <n v="154.22"/>
    <x v="1"/>
    <x v="0"/>
    <m/>
  </r>
  <r>
    <x v="15"/>
    <x v="7"/>
    <x v="2"/>
    <n v="156.33000000000001"/>
    <x v="1"/>
    <x v="0"/>
    <m/>
  </r>
  <r>
    <x v="15"/>
    <x v="7"/>
    <x v="2"/>
    <n v="156.33000000000001"/>
    <x v="1"/>
    <x v="0"/>
    <m/>
  </r>
  <r>
    <x v="43"/>
    <x v="7"/>
    <x v="2"/>
    <n v="154.75"/>
    <x v="1"/>
    <x v="0"/>
    <m/>
  </r>
  <r>
    <x v="44"/>
    <x v="7"/>
    <x v="2"/>
    <n v="159.91"/>
    <x v="1"/>
    <x v="0"/>
    <m/>
  </r>
  <r>
    <x v="45"/>
    <x v="7"/>
    <x v="2"/>
    <n v="156.04"/>
    <x v="1"/>
    <x v="0"/>
    <m/>
  </r>
  <r>
    <x v="46"/>
    <x v="7"/>
    <x v="2"/>
    <n v="162.43"/>
    <x v="1"/>
    <x v="0"/>
    <m/>
  </r>
  <r>
    <x v="47"/>
    <x v="7"/>
    <x v="2"/>
    <n v="157.21"/>
    <x v="1"/>
    <x v="0"/>
    <m/>
  </r>
  <r>
    <x v="48"/>
    <x v="7"/>
    <x v="1"/>
    <n v="157.43"/>
    <x v="1"/>
    <x v="0"/>
    <m/>
  </r>
  <r>
    <x v="49"/>
    <x v="7"/>
    <x v="1"/>
    <n v="144.24"/>
    <x v="1"/>
    <x v="0"/>
    <m/>
  </r>
  <r>
    <x v="50"/>
    <x v="7"/>
    <x v="1"/>
    <n v="156.37"/>
    <x v="1"/>
    <x v="0"/>
    <m/>
  </r>
  <r>
    <x v="51"/>
    <x v="7"/>
    <x v="1"/>
    <n v="137.49"/>
    <x v="1"/>
    <x v="0"/>
    <m/>
  </r>
  <r>
    <x v="13"/>
    <x v="7"/>
    <x v="1"/>
    <n v="154.31"/>
    <x v="1"/>
    <x v="0"/>
    <m/>
  </r>
  <r>
    <x v="52"/>
    <x v="7"/>
    <x v="1"/>
    <n v="153.49"/>
    <x v="1"/>
    <x v="0"/>
    <m/>
  </r>
  <r>
    <x v="53"/>
    <x v="7"/>
    <x v="1"/>
    <n v="140.36000000000001"/>
    <x v="1"/>
    <x v="0"/>
    <m/>
  </r>
  <r>
    <x v="14"/>
    <x v="7"/>
    <x v="1"/>
    <n v="149.08000000000001"/>
    <x v="1"/>
    <x v="0"/>
    <m/>
  </r>
  <r>
    <x v="54"/>
    <x v="7"/>
    <x v="1"/>
    <n v="135.78"/>
    <x v="1"/>
    <x v="0"/>
    <m/>
  </r>
  <r>
    <x v="55"/>
    <x v="7"/>
    <x v="1"/>
    <n v="149.41"/>
    <x v="1"/>
    <x v="0"/>
    <m/>
  </r>
  <r>
    <x v="56"/>
    <x v="7"/>
    <x v="1"/>
    <n v="132.79"/>
    <x v="1"/>
    <x v="0"/>
    <m/>
  </r>
  <r>
    <x v="57"/>
    <x v="7"/>
    <x v="1"/>
    <n v="145.53"/>
    <x v="1"/>
    <x v="0"/>
    <m/>
  </r>
  <r>
    <x v="58"/>
    <x v="7"/>
    <x v="1"/>
    <n v="129.41999999999999"/>
    <x v="1"/>
    <x v="0"/>
    <m/>
  </r>
  <r>
    <x v="59"/>
    <x v="7"/>
    <x v="1"/>
    <n v="125.81"/>
    <x v="1"/>
    <x v="0"/>
    <m/>
  </r>
  <r>
    <x v="60"/>
    <x v="7"/>
    <x v="1"/>
    <n v="126.27"/>
    <x v="1"/>
    <x v="0"/>
    <m/>
  </r>
  <r>
    <x v="61"/>
    <x v="7"/>
    <x v="1"/>
    <n v="143.5"/>
    <x v="1"/>
    <x v="0"/>
    <m/>
  </r>
  <r>
    <x v="62"/>
    <x v="7"/>
    <x v="1"/>
    <n v="125.36"/>
    <x v="1"/>
    <x v="0"/>
    <m/>
  </r>
  <r>
    <x v="63"/>
    <x v="7"/>
    <x v="1"/>
    <n v="135.07"/>
    <x v="1"/>
    <x v="0"/>
    <m/>
  </r>
  <r>
    <x v="64"/>
    <x v="7"/>
    <x v="1"/>
    <n v="116.09"/>
    <x v="1"/>
    <x v="0"/>
    <m/>
  </r>
  <r>
    <x v="65"/>
    <x v="7"/>
    <x v="1"/>
    <n v="131.5"/>
    <x v="1"/>
    <x v="0"/>
    <m/>
  </r>
  <r>
    <x v="66"/>
    <x v="7"/>
    <x v="1"/>
    <n v="105.17"/>
    <x v="1"/>
    <x v="0"/>
    <m/>
  </r>
  <r>
    <x v="67"/>
    <x v="7"/>
    <x v="1"/>
    <n v="121.61"/>
    <x v="1"/>
    <x v="0"/>
    <m/>
  </r>
  <r>
    <x v="68"/>
    <x v="7"/>
    <x v="1"/>
    <n v="113.34"/>
    <x v="1"/>
    <x v="0"/>
    <m/>
  </r>
  <r>
    <x v="69"/>
    <x v="7"/>
    <x v="1"/>
    <n v="120.7"/>
    <x v="1"/>
    <x v="0"/>
    <m/>
  </r>
  <r>
    <x v="70"/>
    <x v="7"/>
    <x v="1"/>
    <n v="104.14"/>
    <x v="1"/>
    <x v="0"/>
    <m/>
  </r>
  <r>
    <x v="71"/>
    <x v="7"/>
    <x v="1"/>
    <n v="120.36"/>
    <x v="1"/>
    <x v="0"/>
    <m/>
  </r>
  <r>
    <x v="72"/>
    <x v="7"/>
    <x v="1"/>
    <n v="76.2"/>
    <x v="1"/>
    <x v="0"/>
    <m/>
  </r>
  <r>
    <x v="73"/>
    <x v="7"/>
    <x v="1"/>
    <n v="115.02"/>
    <x v="1"/>
    <x v="0"/>
    <m/>
  </r>
  <r>
    <x v="74"/>
    <x v="7"/>
    <x v="1"/>
    <n v="74"/>
    <x v="1"/>
    <x v="0"/>
    <m/>
  </r>
  <r>
    <x v="75"/>
    <x v="7"/>
    <x v="1"/>
    <n v="112.58"/>
    <x v="1"/>
    <x v="0"/>
    <m/>
  </r>
  <r>
    <x v="76"/>
    <x v="7"/>
    <x v="1"/>
    <n v="106.49"/>
    <x v="1"/>
    <x v="0"/>
    <m/>
  </r>
  <r>
    <x v="77"/>
    <x v="7"/>
    <x v="1"/>
    <n v="34.43"/>
    <x v="1"/>
    <x v="0"/>
    <m/>
  </r>
  <r>
    <x v="78"/>
    <x v="7"/>
    <x v="1"/>
    <n v="106.18"/>
    <x v="1"/>
    <x v="0"/>
    <m/>
  </r>
  <r>
    <x v="79"/>
    <x v="7"/>
    <x v="1"/>
    <n v="31.83"/>
    <x v="1"/>
    <x v="0"/>
    <m/>
  </r>
  <r>
    <x v="80"/>
    <x v="7"/>
    <x v="1"/>
    <n v="111.33"/>
    <x v="1"/>
    <x v="0"/>
    <m/>
  </r>
  <r>
    <x v="81"/>
    <x v="7"/>
    <x v="1"/>
    <n v="49.56"/>
    <x v="1"/>
    <x v="0"/>
    <m/>
  </r>
  <r>
    <x v="82"/>
    <x v="7"/>
    <x v="1"/>
    <n v="107.66"/>
    <x v="1"/>
    <x v="0"/>
    <m/>
  </r>
  <r>
    <x v="83"/>
    <x v="7"/>
    <x v="1"/>
    <n v="99.73"/>
    <x v="1"/>
    <x v="0"/>
    <m/>
  </r>
  <r>
    <x v="84"/>
    <x v="7"/>
    <x v="1"/>
    <n v="128.82"/>
    <x v="1"/>
    <x v="0"/>
    <m/>
  </r>
  <r>
    <x v="85"/>
    <x v="7"/>
    <x v="1"/>
    <n v="121.87"/>
    <x v="1"/>
    <x v="0"/>
    <m/>
  </r>
  <r>
    <x v="86"/>
    <x v="7"/>
    <x v="1"/>
    <n v="131.88"/>
    <x v="1"/>
    <x v="0"/>
    <m/>
  </r>
  <r>
    <x v="87"/>
    <x v="7"/>
    <x v="1"/>
    <n v="126.99"/>
    <x v="1"/>
    <x v="0"/>
    <m/>
  </r>
  <r>
    <x v="88"/>
    <x v="7"/>
    <x v="1"/>
    <n v="148.16"/>
    <x v="1"/>
    <x v="0"/>
    <m/>
  </r>
  <r>
    <x v="2"/>
    <x v="7"/>
    <x v="1"/>
    <n v="141.97"/>
    <x v="1"/>
    <x v="0"/>
    <m/>
  </r>
  <r>
    <x v="89"/>
    <x v="7"/>
    <x v="1"/>
    <n v="142.18"/>
    <x v="1"/>
    <x v="0"/>
    <m/>
  </r>
  <r>
    <x v="90"/>
    <x v="7"/>
    <x v="1"/>
    <n v="133.77000000000001"/>
    <x v="1"/>
    <x v="0"/>
    <m/>
  </r>
  <r>
    <x v="0"/>
    <x v="7"/>
    <x v="1"/>
    <n v="130.97999999999999"/>
    <x v="1"/>
    <x v="0"/>
    <m/>
  </r>
  <r>
    <x v="91"/>
    <x v="7"/>
    <x v="1"/>
    <n v="136.56"/>
    <x v="1"/>
    <x v="0"/>
    <m/>
  </r>
  <r>
    <x v="92"/>
    <x v="7"/>
    <x v="1"/>
    <n v="147.59"/>
    <x v="1"/>
    <x v="0"/>
    <m/>
  </r>
  <r>
    <x v="93"/>
    <x v="7"/>
    <x v="1"/>
    <n v="145.27000000000001"/>
    <x v="1"/>
    <x v="0"/>
    <m/>
  </r>
  <r>
    <x v="42"/>
    <x v="7"/>
    <x v="1"/>
    <n v="160.85"/>
    <x v="1"/>
    <x v="0"/>
    <m/>
  </r>
  <r>
    <x v="94"/>
    <x v="7"/>
    <x v="1"/>
    <n v="82.3"/>
    <x v="1"/>
    <x v="0"/>
    <m/>
  </r>
  <r>
    <x v="95"/>
    <x v="7"/>
    <x v="1"/>
    <n v="157.84"/>
    <x v="1"/>
    <x v="0"/>
    <m/>
  </r>
  <r>
    <x v="3"/>
    <x v="7"/>
    <x v="1"/>
    <n v="149.68"/>
    <x v="1"/>
    <x v="0"/>
    <m/>
  </r>
  <r>
    <x v="96"/>
    <x v="7"/>
    <x v="1"/>
    <n v="162.96"/>
    <x v="1"/>
    <x v="0"/>
    <m/>
  </r>
  <r>
    <x v="15"/>
    <x v="7"/>
    <x v="1"/>
    <n v="154.26"/>
    <x v="1"/>
    <x v="0"/>
    <m/>
  </r>
  <r>
    <x v="17"/>
    <x v="7"/>
    <x v="1"/>
    <n v="168.8"/>
    <x v="1"/>
    <x v="0"/>
    <m/>
  </r>
  <r>
    <x v="43"/>
    <x v="7"/>
    <x v="1"/>
    <n v="161.46"/>
    <x v="1"/>
    <x v="0"/>
    <m/>
  </r>
  <r>
    <x v="97"/>
    <x v="7"/>
    <x v="1"/>
    <n v="162.72999999999999"/>
    <x v="1"/>
    <x v="0"/>
    <m/>
  </r>
  <r>
    <x v="44"/>
    <x v="7"/>
    <x v="1"/>
    <n v="88.93"/>
    <x v="1"/>
    <x v="0"/>
    <m/>
  </r>
  <r>
    <x v="5"/>
    <x v="7"/>
    <x v="1"/>
    <n v="167.74"/>
    <x v="1"/>
    <x v="0"/>
    <m/>
  </r>
  <r>
    <x v="45"/>
    <x v="7"/>
    <x v="1"/>
    <n v="160.76"/>
    <x v="1"/>
    <x v="0"/>
    <m/>
  </r>
  <r>
    <x v="98"/>
    <x v="7"/>
    <x v="1"/>
    <n v="161.88"/>
    <x v="1"/>
    <x v="0"/>
    <m/>
  </r>
  <r>
    <x v="46"/>
    <x v="7"/>
    <x v="1"/>
    <n v="154.22999999999999"/>
    <x v="1"/>
    <x v="0"/>
    <m/>
  </r>
  <r>
    <x v="99"/>
    <x v="7"/>
    <x v="1"/>
    <n v="168.15"/>
    <x v="1"/>
    <x v="0"/>
    <m/>
  </r>
  <r>
    <x v="47"/>
    <x v="7"/>
    <x v="1"/>
    <n v="161.87"/>
    <x v="1"/>
    <x v="0"/>
    <m/>
  </r>
  <r>
    <x v="100"/>
    <x v="7"/>
    <x v="1"/>
    <n v="159.97"/>
    <x v="1"/>
    <x v="0"/>
    <m/>
  </r>
  <r>
    <x v="101"/>
    <x v="8"/>
    <x v="0"/>
    <n v="175.52160000000001"/>
    <x v="0"/>
    <x v="0"/>
    <m/>
  </r>
  <r>
    <x v="102"/>
    <x v="9"/>
    <x v="0"/>
    <n v="381.36869999999999"/>
    <x v="0"/>
    <x v="0"/>
    <m/>
  </r>
  <r>
    <x v="103"/>
    <x v="9"/>
    <x v="0"/>
    <n v="156.40199999999999"/>
    <x v="0"/>
    <x v="0"/>
    <m/>
  </r>
  <r>
    <x v="52"/>
    <x v="9"/>
    <x v="0"/>
    <n v="153.55439999999999"/>
    <x v="0"/>
    <x v="0"/>
    <m/>
  </r>
  <r>
    <x v="20"/>
    <x v="9"/>
    <x v="0"/>
    <n v="150.95070000000001"/>
    <x v="0"/>
    <x v="0"/>
    <m/>
  </r>
  <r>
    <x v="14"/>
    <x v="9"/>
    <x v="0"/>
    <n v="149.68889999999999"/>
    <x v="0"/>
    <x v="0"/>
    <m/>
  </r>
  <r>
    <x v="54"/>
    <x v="9"/>
    <x v="0"/>
    <n v="147.1104"/>
    <x v="0"/>
    <x v="0"/>
    <s v="nuvem proximo barragem"/>
  </r>
  <r>
    <x v="22"/>
    <x v="9"/>
    <x v="0"/>
    <n v="144.387"/>
    <x v="0"/>
    <x v="0"/>
    <m/>
  </r>
  <r>
    <x v="57"/>
    <x v="9"/>
    <x v="0"/>
    <n v="147.351"/>
    <x v="0"/>
    <x v="0"/>
    <m/>
  </r>
  <r>
    <x v="58"/>
    <x v="9"/>
    <x v="0"/>
    <n v="142.86420000000001"/>
    <x v="0"/>
    <x v="0"/>
    <m/>
  </r>
  <r>
    <x v="65"/>
    <x v="9"/>
    <x v="0"/>
    <n v="134.25749999999999"/>
    <x v="0"/>
    <x v="0"/>
    <m/>
  </r>
  <r>
    <x v="66"/>
    <x v="9"/>
    <x v="0"/>
    <n v="136.86930000000001"/>
    <x v="0"/>
    <x v="0"/>
    <m/>
  </r>
  <r>
    <x v="68"/>
    <x v="9"/>
    <x v="0"/>
    <n v="130.6755"/>
    <x v="0"/>
    <x v="0"/>
    <m/>
  </r>
  <r>
    <x v="104"/>
    <x v="9"/>
    <x v="0"/>
    <n v="121.82040000000001"/>
    <x v="0"/>
    <x v="0"/>
    <s v="sem JRC"/>
  </r>
  <r>
    <x v="30"/>
    <x v="9"/>
    <x v="0"/>
    <n v="122.8518"/>
    <x v="0"/>
    <x v="0"/>
    <s v="ligado filtro JRC devido nebulosidade no entorno"/>
  </r>
  <r>
    <x v="105"/>
    <x v="9"/>
    <x v="0"/>
    <n v="120.3597"/>
    <x v="0"/>
    <x v="0"/>
    <s v="com JRC, devido debulosidade no entorno"/>
  </r>
  <r>
    <x v="106"/>
    <x v="9"/>
    <x v="0"/>
    <n v="114.99299999999999"/>
    <x v="0"/>
    <x v="0"/>
    <s v="sem JRC"/>
  </r>
  <r>
    <x v="33"/>
    <x v="9"/>
    <x v="0"/>
    <n v="113.3109"/>
    <x v="0"/>
    <x v="0"/>
    <m/>
  </r>
  <r>
    <x v="80"/>
    <x v="9"/>
    <x v="0"/>
    <n v="111.2346"/>
    <x v="0"/>
    <x v="0"/>
    <m/>
  </r>
  <r>
    <x v="107"/>
    <x v="9"/>
    <x v="0"/>
    <n v="109.9251"/>
    <x v="0"/>
    <x v="0"/>
    <m/>
  </r>
  <r>
    <x v="83"/>
    <x v="9"/>
    <x v="0"/>
    <n v="122.3109"/>
    <x v="0"/>
    <x v="0"/>
    <m/>
  </r>
  <r>
    <x v="36"/>
    <x v="9"/>
    <x v="0"/>
    <n v="132.4494"/>
    <x v="0"/>
    <x v="0"/>
    <s v="pequena distorção na margem esquerda proximo tomada dagua, talvez vegetaçao (b4 elevado)"/>
  </r>
  <r>
    <x v="84"/>
    <x v="9"/>
    <x v="0"/>
    <n v="132.75360000000001"/>
    <x v="0"/>
    <x v="0"/>
    <s v="manchas de floraçao de algas causam pequenos erros no leito"/>
  </r>
  <r>
    <x v="108"/>
    <x v="4"/>
    <x v="0"/>
    <n v="57.535139999999998"/>
    <x v="1"/>
    <x v="1"/>
    <s v="corrigir manualmente"/>
  </r>
  <r>
    <x v="109"/>
    <x v="4"/>
    <x v="0"/>
    <n v="52.753900000000002"/>
    <x v="1"/>
    <x v="1"/>
    <s v="resultado ruim"/>
  </r>
  <r>
    <x v="46"/>
    <x v="9"/>
    <x v="0"/>
    <n v="173.96459999999999"/>
    <x v="0"/>
    <x v="0"/>
    <m/>
  </r>
  <r>
    <x v="110"/>
    <x v="9"/>
    <x v="0"/>
    <n v="162.65700000000001"/>
    <x v="0"/>
    <x v="0"/>
    <m/>
  </r>
  <r>
    <x v="111"/>
    <x v="9"/>
    <x v="0"/>
    <n v="162.3537"/>
    <x v="0"/>
    <x v="0"/>
    <m/>
  </r>
  <r>
    <x v="112"/>
    <x v="9"/>
    <x v="0"/>
    <n v="161.56440000000001"/>
    <x v="0"/>
    <x v="0"/>
    <m/>
  </r>
  <r>
    <x v="63"/>
    <x v="9"/>
    <x v="0"/>
    <n v="17.637"/>
    <x v="1"/>
    <x v="1"/>
    <s v="nublado, ligado JRC"/>
  </r>
  <r>
    <x v="48"/>
    <x v="9"/>
    <x v="0"/>
    <n v="158.9418"/>
    <x v="0"/>
    <x v="0"/>
    <m/>
  </r>
  <r>
    <x v="113"/>
    <x v="9"/>
    <x v="0"/>
    <n v="160.4709"/>
    <x v="0"/>
    <x v="0"/>
    <m/>
  </r>
  <r>
    <x v="18"/>
    <x v="9"/>
    <x v="0"/>
    <n v="156.68190000000001"/>
    <x v="0"/>
    <x v="0"/>
    <m/>
  </r>
  <r>
    <x v="114"/>
    <x v="9"/>
    <x v="0"/>
    <n v="158.9409"/>
    <x v="0"/>
    <x v="0"/>
    <m/>
  </r>
  <r>
    <x v="99"/>
    <x v="9"/>
    <x v="0"/>
    <n v="173.33099999999999"/>
    <x v="0"/>
    <x v="0"/>
    <m/>
  </r>
  <r>
    <x v="115"/>
    <x v="9"/>
    <x v="0"/>
    <n v="174.8295"/>
    <x v="0"/>
    <x v="0"/>
    <m/>
  </r>
  <r>
    <x v="116"/>
    <x v="9"/>
    <x v="0"/>
    <n v="62.448300000000003"/>
    <x v="0"/>
    <x v="0"/>
    <m/>
  </r>
  <r>
    <x v="117"/>
    <x v="9"/>
    <x v="0"/>
    <n v="32.544069999999998"/>
    <x v="0"/>
    <x v="0"/>
    <m/>
  </r>
  <r>
    <x v="60"/>
    <x v="9"/>
    <x v="0"/>
    <n v="21.663"/>
    <x v="0"/>
    <x v="0"/>
    <m/>
  </r>
  <r>
    <x v="27"/>
    <x v="9"/>
    <x v="0"/>
    <n v="13.346579999999999"/>
    <x v="0"/>
    <x v="0"/>
    <m/>
  </r>
  <r>
    <x v="68"/>
    <x v="9"/>
    <x v="0"/>
    <n v="12.55719"/>
    <x v="0"/>
    <x v="0"/>
    <m/>
  </r>
  <r>
    <x v="118"/>
    <x v="9"/>
    <x v="0"/>
    <n v="213.93539999999999"/>
    <x v="0"/>
    <x v="0"/>
    <m/>
  </r>
  <r>
    <x v="18"/>
    <x v="9"/>
    <x v="0"/>
    <n v="200.9556"/>
    <x v="0"/>
    <x v="0"/>
    <m/>
  </r>
  <r>
    <x v="14"/>
    <x v="9"/>
    <x v="0"/>
    <n v="178.1703"/>
    <x v="0"/>
    <x v="0"/>
    <m/>
  </r>
  <r>
    <x v="21"/>
    <x v="9"/>
    <x v="0"/>
    <n v="164.55330000000001"/>
    <x v="0"/>
    <x v="0"/>
    <m/>
  </r>
  <r>
    <x v="58"/>
    <x v="9"/>
    <x v="0"/>
    <n v="155.27500000000001"/>
    <x v="0"/>
    <x v="0"/>
    <m/>
  </r>
  <r>
    <x v="119"/>
    <x v="9"/>
    <x v="0"/>
    <n v="159.58619999999999"/>
    <x v="0"/>
    <x v="0"/>
    <m/>
  </r>
  <r>
    <x v="71"/>
    <x v="9"/>
    <x v="0"/>
    <n v="198.8964"/>
    <x v="0"/>
    <x v="0"/>
    <s v="algas/macrofitas na superficie reduz o resultado"/>
  </r>
  <r>
    <x v="120"/>
    <x v="10"/>
    <x v="0"/>
    <n v="10.337400000000001"/>
    <x v="0"/>
    <x v="0"/>
    <s v="reduzido threshold"/>
  </r>
  <r>
    <x v="121"/>
    <x v="10"/>
    <x v="0"/>
    <n v="5.3117999999999999"/>
    <x v="0"/>
    <x v="0"/>
    <m/>
  </r>
  <r>
    <x v="33"/>
    <x v="10"/>
    <x v="0"/>
    <n v="23.518999999999998"/>
    <x v="0"/>
    <x v="0"/>
    <m/>
  </r>
  <r>
    <x v="26"/>
    <x v="11"/>
    <x v="0"/>
    <n v="135.06700000000001"/>
    <x v="0"/>
    <x v="0"/>
    <m/>
  </r>
  <r>
    <x v="122"/>
    <x v="11"/>
    <x v="0"/>
    <n v="110.9007"/>
    <x v="0"/>
    <x v="0"/>
    <s v="threshold reduzido, para melhor conformidade"/>
  </r>
  <r>
    <x v="34"/>
    <x v="11"/>
    <x v="0"/>
    <n v="57.662999999999997"/>
    <x v="0"/>
    <x v="0"/>
    <s v="aprimorado poligono aoi ancipa, devido manchas de neve similar agua"/>
  </r>
  <r>
    <x v="85"/>
    <x v="11"/>
    <x v="0"/>
    <n v="103.499167"/>
    <x v="0"/>
    <x v="0"/>
    <s v="aprimorado poligono aoi ancipa, area maior apos enchimento"/>
  </r>
  <r>
    <x v="27"/>
    <x v="11"/>
    <x v="0"/>
    <n v="179.1567"/>
    <x v="0"/>
    <x v="0"/>
    <m/>
  </r>
  <r>
    <x v="13"/>
    <x v="12"/>
    <x v="0"/>
    <n v="193.12469999999999"/>
    <x v="0"/>
    <x v="0"/>
    <m/>
  </r>
  <r>
    <x v="73"/>
    <x v="9"/>
    <x v="0"/>
    <n v="198.88740000000001"/>
    <x v="0"/>
    <x v="0"/>
    <s v="algas/macrofitas na superficie reduz o resultado"/>
  </r>
  <r>
    <x v="33"/>
    <x v="9"/>
    <x v="0"/>
    <n v="217.14760000000001"/>
    <x v="0"/>
    <x v="0"/>
    <s v="algas/macrofitas na superficie reduz o resultado"/>
  </r>
  <r>
    <x v="34"/>
    <x v="9"/>
    <x v="0"/>
    <n v="334.70190000000002"/>
    <x v="0"/>
    <x v="0"/>
    <m/>
  </r>
  <r>
    <x v="123"/>
    <x v="9"/>
    <x v="0"/>
    <n v="480.7713"/>
    <x v="0"/>
    <x v="0"/>
    <s v="algas/macrofitas na superficie reduz o resultado"/>
  </r>
  <r>
    <x v="124"/>
    <x v="0"/>
    <x v="0"/>
    <n v="264.04000000000002"/>
    <x v="2"/>
    <x v="0"/>
    <m/>
  </r>
  <r>
    <x v="124"/>
    <x v="1"/>
    <x v="0"/>
    <n v="242.07"/>
    <x v="2"/>
    <x v="0"/>
    <m/>
  </r>
  <r>
    <x v="124"/>
    <x v="2"/>
    <x v="0"/>
    <n v="224.47980000000001"/>
    <x v="2"/>
    <x v="0"/>
    <m/>
  </r>
  <r>
    <x v="124"/>
    <x v="3"/>
    <x v="0"/>
    <n v="205.5591"/>
    <x v="2"/>
    <x v="0"/>
    <m/>
  </r>
  <r>
    <x v="124"/>
    <x v="4"/>
    <x v="0"/>
    <n v="190.1943"/>
    <x v="2"/>
    <x v="0"/>
    <m/>
  </r>
  <r>
    <x v="124"/>
    <x v="6"/>
    <x v="0"/>
    <n v="181.90799999999999"/>
    <x v="2"/>
    <x v="0"/>
    <m/>
  </r>
  <r>
    <x v="124"/>
    <x v="9"/>
    <x v="0"/>
    <n v="177.00839999999999"/>
    <x v="0"/>
    <x v="0"/>
    <m/>
  </r>
  <r>
    <x v="124"/>
    <x v="11"/>
    <x v="0"/>
    <n v="174.1446"/>
    <x v="2"/>
    <x v="0"/>
    <m/>
  </r>
  <r>
    <x v="125"/>
    <x v="0"/>
    <x v="0"/>
    <n v="456.08210000000003"/>
    <x v="2"/>
    <x v="0"/>
    <m/>
  </r>
  <r>
    <x v="125"/>
    <x v="1"/>
    <x v="0"/>
    <n v="386.78300000000002"/>
    <x v="2"/>
    <x v="0"/>
    <m/>
  </r>
  <r>
    <x v="125"/>
    <x v="2"/>
    <x v="0"/>
    <n v="350.62986999999998"/>
    <x v="2"/>
    <x v="0"/>
    <m/>
  </r>
  <r>
    <x v="125"/>
    <x v="3"/>
    <x v="0"/>
    <n v="338.68079999999998"/>
    <x v="2"/>
    <x v="0"/>
    <m/>
  </r>
  <r>
    <x v="125"/>
    <x v="4"/>
    <x v="0"/>
    <n v="329.84190000000001"/>
    <x v="2"/>
    <x v="0"/>
    <m/>
  </r>
  <r>
    <x v="125"/>
    <x v="6"/>
    <x v="0"/>
    <n v="324.69929999999999"/>
    <x v="0"/>
    <x v="0"/>
    <m/>
  </r>
  <r>
    <x v="125"/>
    <x v="9"/>
    <x v="0"/>
    <n v="322.50060000000002"/>
    <x v="2"/>
    <x v="0"/>
    <m/>
  </r>
  <r>
    <x v="125"/>
    <x v="11"/>
    <x v="0"/>
    <n v="320.71140000000003"/>
    <x v="2"/>
    <x v="0"/>
    <m/>
  </r>
  <r>
    <x v="12"/>
    <x v="12"/>
    <x v="0"/>
    <n v="278.20999999999998"/>
    <x v="0"/>
    <x v="0"/>
    <m/>
  </r>
  <r>
    <x v="111"/>
    <x v="6"/>
    <x v="0"/>
    <n v="279.45"/>
    <x v="0"/>
    <x v="0"/>
    <m/>
  </r>
  <r>
    <x v="112"/>
    <x v="9"/>
    <x v="0"/>
    <n v="279.02"/>
    <x v="0"/>
    <x v="0"/>
    <m/>
  </r>
  <r>
    <x v="16"/>
    <x v="6"/>
    <x v="0"/>
    <n v="274.95999999999998"/>
    <x v="0"/>
    <x v="0"/>
    <m/>
  </r>
  <r>
    <x v="50"/>
    <x v="9"/>
    <x v="0"/>
    <n v="268.55"/>
    <x v="0"/>
    <x v="0"/>
    <m/>
  </r>
  <r>
    <x v="126"/>
    <x v="9"/>
    <x v="0"/>
    <n v="266.98"/>
    <x v="0"/>
    <x v="0"/>
    <m/>
  </r>
  <r>
    <x v="127"/>
    <x v="6"/>
    <x v="0"/>
    <n v="259.17"/>
    <x v="0"/>
    <x v="0"/>
    <m/>
  </r>
  <r>
    <x v="128"/>
    <x v="9"/>
    <x v="0"/>
    <n v="259.95"/>
    <x v="0"/>
    <x v="0"/>
    <m/>
  </r>
  <r>
    <x v="53"/>
    <x v="9"/>
    <x v="0"/>
    <n v="254"/>
    <x v="0"/>
    <x v="0"/>
    <m/>
  </r>
  <r>
    <x v="20"/>
    <x v="9"/>
    <x v="0"/>
    <n v="248.31"/>
    <x v="0"/>
    <x v="0"/>
    <m/>
  </r>
  <r>
    <x v="21"/>
    <x v="9"/>
    <x v="0"/>
    <n v="239.41"/>
    <x v="0"/>
    <x v="0"/>
    <m/>
  </r>
  <r>
    <x v="22"/>
    <x v="9"/>
    <x v="0"/>
    <n v="227.63"/>
    <x v="0"/>
    <x v="0"/>
    <m/>
  </r>
  <r>
    <x v="129"/>
    <x v="9"/>
    <x v="0"/>
    <n v="221.45"/>
    <x v="0"/>
    <x v="0"/>
    <m/>
  </r>
  <r>
    <x v="60"/>
    <x v="9"/>
    <x v="0"/>
    <n v="212.57"/>
    <x v="0"/>
    <x v="0"/>
    <m/>
  </r>
  <r>
    <x v="62"/>
    <x v="9"/>
    <x v="0"/>
    <n v="203.41"/>
    <x v="0"/>
    <x v="0"/>
    <m/>
  </r>
  <r>
    <x v="64"/>
    <x v="9"/>
    <x v="0"/>
    <n v="198.83"/>
    <x v="0"/>
    <x v="0"/>
    <m/>
  </r>
  <r>
    <x v="26"/>
    <x v="9"/>
    <x v="0"/>
    <n v="195.33"/>
    <x v="0"/>
    <x v="0"/>
    <m/>
  </r>
  <r>
    <x v="130"/>
    <x v="9"/>
    <x v="0"/>
    <n v="189.79"/>
    <x v="0"/>
    <x v="0"/>
    <m/>
  </r>
  <r>
    <x v="28"/>
    <x v="9"/>
    <x v="0"/>
    <n v="186.82"/>
    <x v="0"/>
    <x v="0"/>
    <m/>
  </r>
  <r>
    <x v="29"/>
    <x v="9"/>
    <x v="0"/>
    <n v="181.88"/>
    <x v="0"/>
    <x v="0"/>
    <m/>
  </r>
  <r>
    <x v="75"/>
    <x v="9"/>
    <x v="0"/>
    <n v="168.71"/>
    <x v="0"/>
    <x v="0"/>
    <m/>
  </r>
  <r>
    <x v="32"/>
    <x v="9"/>
    <x v="0"/>
    <n v="166.9"/>
    <x v="0"/>
    <x v="0"/>
    <m/>
  </r>
  <r>
    <x v="124"/>
    <x v="9"/>
    <x v="0"/>
    <n v="177.01"/>
    <x v="0"/>
    <x v="0"/>
    <m/>
  </r>
  <r>
    <x v="131"/>
    <x v="9"/>
    <x v="0"/>
    <n v="175.44"/>
    <x v="0"/>
    <x v="0"/>
    <m/>
  </r>
  <r>
    <x v="81"/>
    <x v="9"/>
    <x v="0"/>
    <n v="171.91"/>
    <x v="0"/>
    <x v="0"/>
    <m/>
  </r>
  <r>
    <x v="36"/>
    <x v="9"/>
    <x v="0"/>
    <n v="186.11"/>
    <x v="0"/>
    <x v="0"/>
    <m/>
  </r>
  <r>
    <x v="37"/>
    <x v="9"/>
    <x v="0"/>
    <n v="190.45"/>
    <x v="0"/>
    <x v="0"/>
    <m/>
  </r>
  <r>
    <x v="38"/>
    <x v="9"/>
    <x v="0"/>
    <n v="213.09"/>
    <x v="0"/>
    <x v="0"/>
    <m/>
  </r>
  <r>
    <x v="132"/>
    <x v="9"/>
    <x v="0"/>
    <n v="216.98"/>
    <x v="0"/>
    <x v="0"/>
    <m/>
  </r>
  <r>
    <x v="133"/>
    <x v="9"/>
    <x v="0"/>
    <n v="223.78"/>
    <x v="0"/>
    <x v="0"/>
    <m/>
  </r>
  <r>
    <x v="134"/>
    <x v="9"/>
    <x v="0"/>
    <n v="234.5"/>
    <x v="0"/>
    <x v="0"/>
    <m/>
  </r>
  <r>
    <x v="135"/>
    <x v="3"/>
    <x v="0"/>
    <n v="234.3"/>
    <x v="0"/>
    <x v="0"/>
    <m/>
  </r>
  <r>
    <x v="96"/>
    <x v="9"/>
    <x v="0"/>
    <n v="236.8"/>
    <x v="0"/>
    <x v="0"/>
    <m/>
  </r>
  <r>
    <x v="17"/>
    <x v="9"/>
    <x v="0"/>
    <n v="235.43"/>
    <x v="0"/>
    <x v="0"/>
    <m/>
  </r>
  <r>
    <x v="44"/>
    <x v="4"/>
    <x v="0"/>
    <n v="232.86"/>
    <x v="0"/>
    <x v="0"/>
    <m/>
  </r>
  <r>
    <x v="136"/>
    <x v="4"/>
    <x v="0"/>
    <n v="233.18"/>
    <x v="0"/>
    <x v="0"/>
    <m/>
  </r>
  <r>
    <x v="99"/>
    <x v="9"/>
    <x v="0"/>
    <n v="235.31"/>
    <x v="0"/>
    <x v="0"/>
    <m/>
  </r>
  <r>
    <x v="137"/>
    <x v="9"/>
    <x v="0"/>
    <n v="234.86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BB3F9-7D92-465F-85B8-1678285D03E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:B18" firstHeaderRow="1" firstDataRow="1" firstDataCol="1" rowPageCount="2" colPageCount="1"/>
  <pivotFields count="10">
    <pivotField showAll="0">
      <items count="139">
        <item x="102"/>
        <item x="125"/>
        <item x="116"/>
        <item x="11"/>
        <item x="110"/>
        <item x="12"/>
        <item x="111"/>
        <item x="112"/>
        <item x="108"/>
        <item x="118"/>
        <item x="16"/>
        <item x="48"/>
        <item x="109"/>
        <item x="49"/>
        <item x="113"/>
        <item x="18"/>
        <item x="50"/>
        <item x="114"/>
        <item x="126"/>
        <item x="51"/>
        <item x="10"/>
        <item x="13"/>
        <item x="103"/>
        <item x="127"/>
        <item x="128"/>
        <item x="19"/>
        <item x="52"/>
        <item x="53"/>
        <item x="20"/>
        <item x="14"/>
        <item x="54"/>
        <item x="21"/>
        <item x="55"/>
        <item x="56"/>
        <item x="117"/>
        <item x="22"/>
        <item x="57"/>
        <item x="129"/>
        <item x="58"/>
        <item x="23"/>
        <item x="59"/>
        <item x="60"/>
        <item x="24"/>
        <item x="61"/>
        <item x="119"/>
        <item x="62"/>
        <item x="25"/>
        <item x="63"/>
        <item x="64"/>
        <item x="26"/>
        <item x="65"/>
        <item x="66"/>
        <item x="27"/>
        <item x="67"/>
        <item x="130"/>
        <item x="68"/>
        <item x="28"/>
        <item x="69"/>
        <item x="70"/>
        <item x="120"/>
        <item x="29"/>
        <item x="71"/>
        <item x="104"/>
        <item x="72"/>
        <item x="30"/>
        <item x="73"/>
        <item x="105"/>
        <item x="74"/>
        <item x="31"/>
        <item x="75"/>
        <item x="121"/>
        <item x="32"/>
        <item x="76"/>
        <item x="106"/>
        <item x="77"/>
        <item x="33"/>
        <item x="78"/>
        <item x="122"/>
        <item x="79"/>
        <item x="124"/>
        <item x="131"/>
        <item x="34"/>
        <item x="80"/>
        <item x="107"/>
        <item x="81"/>
        <item x="7"/>
        <item x="35"/>
        <item x="82"/>
        <item x="83"/>
        <item x="8"/>
        <item x="36"/>
        <item x="84"/>
        <item x="85"/>
        <item x="37"/>
        <item x="86"/>
        <item x="87"/>
        <item x="123"/>
        <item x="38"/>
        <item x="88"/>
        <item x="2"/>
        <item x="132"/>
        <item x="39"/>
        <item x="89"/>
        <item x="90"/>
        <item x="133"/>
        <item x="40"/>
        <item x="0"/>
        <item x="91"/>
        <item x="6"/>
        <item x="41"/>
        <item x="92"/>
        <item x="93"/>
        <item x="134"/>
        <item x="42"/>
        <item x="94"/>
        <item x="95"/>
        <item x="135"/>
        <item x="3"/>
        <item x="96"/>
        <item x="4"/>
        <item x="15"/>
        <item x="17"/>
        <item x="1"/>
        <item x="43"/>
        <item x="97"/>
        <item x="44"/>
        <item x="5"/>
        <item x="136"/>
        <item x="9"/>
        <item x="45"/>
        <item x="98"/>
        <item x="46"/>
        <item x="99"/>
        <item x="47"/>
        <item x="100"/>
        <item x="137"/>
        <item x="115"/>
        <item x="10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7"/>
        <item t="default"/>
      </items>
    </pivotField>
    <pivotField axis="axisPage" dataField="1" showAll="0">
      <items count="4">
        <item x="0"/>
        <item x="2"/>
        <item x="1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" item="0" hier="-1"/>
    <pageField fld="4" item="1" hier="-1"/>
  </pageFields>
  <dataFields count="1">
    <dataField name="Count of tipo" fld="2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e-ciceromartinsjr.projects.earthengine.app/view/ndwi-validation-planet-imag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B909-C253-4A67-A910-F1A3BDC03925}">
  <dimension ref="A1:K24"/>
  <sheetViews>
    <sheetView workbookViewId="0">
      <selection activeCell="E19" sqref="E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>
        <v>-0.05</v>
      </c>
      <c r="D1">
        <v>-0.1</v>
      </c>
      <c r="E1">
        <v>-0.15</v>
      </c>
      <c r="F1">
        <v>-0.2</v>
      </c>
      <c r="G1">
        <v>-0.25</v>
      </c>
      <c r="H1">
        <v>-0.3</v>
      </c>
      <c r="I1">
        <v>-0.35</v>
      </c>
      <c r="J1">
        <v>-0.4</v>
      </c>
    </row>
    <row r="2" spans="1:11" x14ac:dyDescent="0.25">
      <c r="A2" t="s">
        <v>7</v>
      </c>
      <c r="B2" s="1">
        <v>45653</v>
      </c>
      <c r="C2" s="5">
        <v>-1.0412532637075733E-2</v>
      </c>
      <c r="D2" s="4">
        <v>-2.7028720626631857E-2</v>
      </c>
      <c r="E2" s="4">
        <v>-5.5456919060052179E-2</v>
      </c>
      <c r="F2" s="4">
        <v>-0.10353524804177548</v>
      </c>
      <c r="G2" s="4">
        <v>-0.19268407310704966</v>
      </c>
      <c r="H2" s="4">
        <v>-0.30246475195822464</v>
      </c>
      <c r="I2" s="4">
        <v>-0.40452567449956484</v>
      </c>
      <c r="J2" s="4">
        <v>-0.53199883957064131</v>
      </c>
    </row>
    <row r="3" spans="1:11" x14ac:dyDescent="0.25">
      <c r="A3" t="s">
        <v>7</v>
      </c>
      <c r="B3" s="1">
        <v>45172</v>
      </c>
      <c r="C3" s="5">
        <v>3.6960542910335584E-2</v>
      </c>
      <c r="D3" s="4">
        <v>3.1587892619061808E-2</v>
      </c>
      <c r="E3" s="4">
        <v>2.4985586451264155E-2</v>
      </c>
      <c r="F3" s="4">
        <v>9.543270674433885E-3</v>
      </c>
      <c r="G3" s="4">
        <v>-1.6998378475767205E-2</v>
      </c>
      <c r="H3" s="4">
        <v>-5.2879316557564116E-2</v>
      </c>
      <c r="I3" s="4">
        <v>-0.16144075430905061</v>
      </c>
      <c r="J3" s="4">
        <v>-0.36953366164194357</v>
      </c>
    </row>
    <row r="4" spans="1:11" x14ac:dyDescent="0.25">
      <c r="A4" t="s">
        <v>11</v>
      </c>
      <c r="B4" s="1">
        <v>45286</v>
      </c>
      <c r="C4" s="5">
        <v>0.85956660385563133</v>
      </c>
      <c r="D4" s="4">
        <v>0.25984490505870411</v>
      </c>
      <c r="E4" s="4">
        <v>0.13558776634294814</v>
      </c>
      <c r="F4" s="4">
        <v>8.0953761414697692E-2</v>
      </c>
      <c r="G4" s="4">
        <v>3.817944629656473E-2</v>
      </c>
      <c r="H4" s="4">
        <v>-1.0747934483258474E-2</v>
      </c>
      <c r="I4" s="4">
        <v>-7.0662414842730836E-2</v>
      </c>
      <c r="J4" s="4">
        <v>-0.17311204522394569</v>
      </c>
    </row>
    <row r="5" spans="1:11" x14ac:dyDescent="0.25">
      <c r="A5" t="s">
        <v>11</v>
      </c>
      <c r="B5" s="1">
        <v>45645</v>
      </c>
      <c r="C5" s="5">
        <v>-1.1193683232698544E-2</v>
      </c>
      <c r="D5" s="4">
        <v>-4.515559684161622E-2</v>
      </c>
      <c r="E5" s="4">
        <v>-8.7087784486762645E-2</v>
      </c>
      <c r="F5" s="4">
        <v>-0.14109614491407324</v>
      </c>
      <c r="G5" s="4">
        <v>-0.26041802136553643</v>
      </c>
      <c r="H5" s="4">
        <v>-0.70798885276358581</v>
      </c>
      <c r="I5" s="4">
        <v>-1.5001950766372503</v>
      </c>
      <c r="J5" s="4">
        <v>-2.2856943799349745</v>
      </c>
    </row>
    <row r="6" spans="1:11" x14ac:dyDescent="0.25">
      <c r="A6" t="s">
        <v>11</v>
      </c>
      <c r="B6" s="1">
        <v>44703</v>
      </c>
      <c r="C6" s="5">
        <v>0.30068401371143666</v>
      </c>
      <c r="D6" s="4">
        <v>0.27891087566220019</v>
      </c>
      <c r="E6" s="4">
        <v>0.25958631972577134</v>
      </c>
      <c r="F6" s="4">
        <v>0.24122857588033667</v>
      </c>
      <c r="G6" s="4">
        <v>0.22231458398254914</v>
      </c>
      <c r="H6" s="4">
        <v>0.20260673106886895</v>
      </c>
      <c r="I6" s="4">
        <v>0.18194141477095677</v>
      </c>
      <c r="J6" s="4">
        <v>0.15886880648177007</v>
      </c>
    </row>
    <row r="7" spans="1:11" x14ac:dyDescent="0.25">
      <c r="A7" t="s">
        <v>12</v>
      </c>
      <c r="B7" s="1">
        <v>45440</v>
      </c>
      <c r="C7" s="5">
        <v>2.9116611006907892E-2</v>
      </c>
      <c r="D7" s="4">
        <v>2.1293746282995636E-2</v>
      </c>
      <c r="E7" s="4">
        <v>4.63104442106231E-3</v>
      </c>
      <c r="F7" s="4">
        <v>-0.21160162861979043</v>
      </c>
      <c r="G7" s="4">
        <v>-0.55596422526190581</v>
      </c>
      <c r="H7" s="4">
        <v>-1.1485795324580266</v>
      </c>
      <c r="I7" s="4">
        <v>-2.5569902557299051</v>
      </c>
      <c r="J7" s="4">
        <v>-4.1093654787501714</v>
      </c>
    </row>
    <row r="8" spans="1:11" x14ac:dyDescent="0.25">
      <c r="A8" t="s">
        <v>12</v>
      </c>
      <c r="B8" s="1">
        <v>44589</v>
      </c>
      <c r="C8" s="5">
        <v>3.4796141274017409E-2</v>
      </c>
      <c r="D8" s="4">
        <v>3.0247947062106397E-2</v>
      </c>
      <c r="E8" s="4">
        <v>2.5805628637486998E-2</v>
      </c>
      <c r="F8" s="4">
        <v>2.1739137367455915E-2</v>
      </c>
      <c r="G8" s="4">
        <v>1.7304472614207068E-2</v>
      </c>
      <c r="H8" s="4">
        <v>1.2373754285258616E-2</v>
      </c>
      <c r="I8" s="4">
        <v>3.5147891254085776E-3</v>
      </c>
      <c r="J8" s="4">
        <v>-1.3618751494857776E-2</v>
      </c>
    </row>
    <row r="9" spans="1:11" x14ac:dyDescent="0.25">
      <c r="A9" t="s">
        <v>13</v>
      </c>
      <c r="B9" s="1">
        <v>45659</v>
      </c>
      <c r="C9" s="5">
        <v>0.41017303787410603</v>
      </c>
      <c r="D9" s="4">
        <v>0.1423183543745033</v>
      </c>
      <c r="E9" s="4">
        <v>9.2634413348635994E-2</v>
      </c>
      <c r="F9" s="4">
        <v>6.2472852476383768E-2</v>
      </c>
      <c r="G9" s="4">
        <v>3.8818751655336728E-2</v>
      </c>
      <c r="H9" s="4">
        <v>-2.8162796857067415E-3</v>
      </c>
      <c r="I9" s="4">
        <v>-0.3537026573673524</v>
      </c>
      <c r="J9" s="4">
        <v>-0.81265736735234417</v>
      </c>
    </row>
    <row r="10" spans="1:11" x14ac:dyDescent="0.25">
      <c r="A10" t="s">
        <v>13</v>
      </c>
      <c r="B10" s="1">
        <v>45171</v>
      </c>
      <c r="C10" s="5">
        <v>2.8286753369964803E-2</v>
      </c>
      <c r="D10" s="4">
        <v>1.6023243862908688E-2</v>
      </c>
      <c r="E10" s="4">
        <v>-7.0202000237182555E-3</v>
      </c>
      <c r="F10" s="4">
        <v>-8.3877930189350552E-2</v>
      </c>
      <c r="G10" s="4">
        <v>-0.15887852314503692</v>
      </c>
      <c r="H10" s="4">
        <v>-0.23038186346207068</v>
      </c>
      <c r="I10" s="4">
        <v>-0.38611100130450249</v>
      </c>
      <c r="J10" s="4">
        <v>-0.93781199351701783</v>
      </c>
    </row>
    <row r="16" spans="1:11" x14ac:dyDescent="0.25">
      <c r="C16" s="1"/>
      <c r="D16" s="1"/>
      <c r="E16" s="1"/>
      <c r="F16" s="1"/>
      <c r="G16" s="1"/>
      <c r="H16" s="1"/>
      <c r="I16" s="1"/>
      <c r="J16" s="1"/>
      <c r="K16" s="1"/>
    </row>
    <row r="17" spans="3:11" x14ac:dyDescent="0.25">
      <c r="C17" s="3"/>
      <c r="D17" s="3"/>
      <c r="E17" s="3"/>
      <c r="F17" s="3"/>
      <c r="G17" s="3"/>
      <c r="H17" s="3"/>
      <c r="I17" s="3"/>
      <c r="J17" s="3"/>
      <c r="K17" s="3"/>
    </row>
    <row r="18" spans="3:11" x14ac:dyDescent="0.25">
      <c r="C18" s="3"/>
      <c r="D18" s="3"/>
      <c r="E18" s="3"/>
      <c r="F18" s="3"/>
      <c r="G18" s="3"/>
      <c r="H18" s="3"/>
      <c r="I18" s="3"/>
      <c r="J18" s="3"/>
      <c r="K18" s="3"/>
    </row>
    <row r="19" spans="3:11" x14ac:dyDescent="0.25">
      <c r="C19" s="3"/>
      <c r="D19" s="3"/>
      <c r="E19" s="3"/>
      <c r="F19" s="3"/>
      <c r="G19" s="3"/>
      <c r="H19" s="3"/>
      <c r="I19" s="3"/>
      <c r="J19" s="3"/>
      <c r="K19" s="3"/>
    </row>
    <row r="20" spans="3:11" x14ac:dyDescent="0.25">
      <c r="C20" s="3"/>
      <c r="D20" s="3"/>
      <c r="E20" s="3"/>
      <c r="F20" s="3"/>
      <c r="G20" s="3"/>
      <c r="H20" s="3"/>
      <c r="I20" s="3"/>
      <c r="J20" s="3"/>
      <c r="K20" s="3"/>
    </row>
    <row r="21" spans="3:11" x14ac:dyDescent="0.25">
      <c r="C21" s="3"/>
      <c r="D21" s="3"/>
      <c r="E21" s="3"/>
      <c r="F21" s="3"/>
      <c r="G21" s="3"/>
      <c r="H21" s="3"/>
      <c r="I21" s="3"/>
      <c r="J21" s="3"/>
      <c r="K21" s="3"/>
    </row>
    <row r="22" spans="3:11" x14ac:dyDescent="0.25">
      <c r="C22" s="3"/>
      <c r="D22" s="3"/>
      <c r="E22" s="3"/>
      <c r="F22" s="3"/>
      <c r="G22" s="3"/>
      <c r="H22" s="3"/>
      <c r="I22" s="3"/>
      <c r="J22" s="3"/>
      <c r="K22" s="3"/>
    </row>
    <row r="23" spans="3:11" x14ac:dyDescent="0.25">
      <c r="C23" s="3"/>
      <c r="D23" s="3"/>
      <c r="E23" s="3"/>
      <c r="F23" s="3"/>
      <c r="G23" s="3"/>
      <c r="H23" s="3"/>
      <c r="I23" s="3"/>
      <c r="J23" s="3"/>
      <c r="K23" s="3"/>
    </row>
    <row r="24" spans="3:11" x14ac:dyDescent="0.25">
      <c r="C24" s="3"/>
      <c r="D24" s="3"/>
      <c r="E24" s="3"/>
      <c r="F24" s="3"/>
      <c r="G24" s="3"/>
      <c r="H24" s="3"/>
      <c r="I24" s="3"/>
      <c r="J24" s="3"/>
      <c r="K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5C2-CD4E-4793-B1BC-4BA8F81D85EF}">
  <dimension ref="A1:A20"/>
  <sheetViews>
    <sheetView tabSelected="1" workbookViewId="0">
      <selection activeCell="A23" sqref="A23"/>
    </sheetView>
  </sheetViews>
  <sheetFormatPr defaultRowHeight="15" x14ac:dyDescent="0.25"/>
  <cols>
    <col min="1" max="1" width="103.28515625" customWidth="1"/>
  </cols>
  <sheetData>
    <row r="1" spans="1:1" ht="52.5" x14ac:dyDescent="0.25">
      <c r="A1" s="7" t="s">
        <v>17</v>
      </c>
    </row>
    <row r="2" spans="1:1" ht="15.75" x14ac:dyDescent="0.25">
      <c r="A2" s="8" t="s">
        <v>19</v>
      </c>
    </row>
    <row r="3" spans="1:1" x14ac:dyDescent="0.25">
      <c r="A3" s="9" t="s">
        <v>20</v>
      </c>
    </row>
    <row r="4" spans="1:1" x14ac:dyDescent="0.25">
      <c r="A4" s="10" t="s">
        <v>18</v>
      </c>
    </row>
    <row r="6" spans="1:1" x14ac:dyDescent="0.25">
      <c r="A6" s="11" t="s">
        <v>22</v>
      </c>
    </row>
    <row r="7" spans="1:1" x14ac:dyDescent="0.25">
      <c r="A7" s="11" t="s">
        <v>24</v>
      </c>
    </row>
    <row r="8" spans="1:1" x14ac:dyDescent="0.25">
      <c r="A8" s="11" t="s">
        <v>25</v>
      </c>
    </row>
    <row r="10" spans="1:1" x14ac:dyDescent="0.25">
      <c r="A10" t="s">
        <v>51</v>
      </c>
    </row>
    <row r="11" spans="1:1" x14ac:dyDescent="0.25">
      <c r="A11" t="s">
        <v>23</v>
      </c>
    </row>
    <row r="12" spans="1:1" x14ac:dyDescent="0.25">
      <c r="A12" t="s">
        <v>55</v>
      </c>
    </row>
    <row r="14" spans="1:1" x14ac:dyDescent="0.25">
      <c r="A14" t="s">
        <v>52</v>
      </c>
    </row>
    <row r="15" spans="1:1" x14ac:dyDescent="0.25">
      <c r="A15" t="s">
        <v>53</v>
      </c>
    </row>
    <row r="17" spans="1:1" x14ac:dyDescent="0.25">
      <c r="A17" t="s">
        <v>54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s="20" t="s">
        <v>56</v>
      </c>
    </row>
  </sheetData>
  <hyperlinks>
    <hyperlink ref="A20" r:id="rId1" xr:uid="{0CC7E89F-C1D1-4DFC-88E9-A6ECD6530CF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90DF-8D24-43BB-855B-EE60C82F87BC}">
  <dimension ref="A1:H10"/>
  <sheetViews>
    <sheetView workbookViewId="0">
      <selection activeCell="I19" sqref="I19"/>
    </sheetView>
  </sheetViews>
  <sheetFormatPr defaultRowHeight="15" x14ac:dyDescent="0.25"/>
  <cols>
    <col min="7" max="7" width="9.42578125" hidden="1" customWidth="1"/>
    <col min="8" max="8" width="0" hidden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G1" t="s">
        <v>15</v>
      </c>
      <c r="H1" t="s">
        <v>16</v>
      </c>
    </row>
    <row r="2" spans="1:8" x14ac:dyDescent="0.25">
      <c r="A2" t="s">
        <v>7</v>
      </c>
      <c r="B2" s="1">
        <v>45653</v>
      </c>
      <c r="C2" s="2">
        <v>172.35</v>
      </c>
      <c r="D2">
        <v>-0.1</v>
      </c>
      <c r="E2" s="3">
        <v>177.00839999999999</v>
      </c>
      <c r="F2" s="5">
        <f>(C2-E2)/C2</f>
        <v>-2.7028720626631857E-2</v>
      </c>
      <c r="G2" s="3">
        <f>(E2-C2)^2</f>
        <v>21.700690560000002</v>
      </c>
      <c r="H2">
        <f>SQRT(SUM(G2:G10)/COUNT(G2:G10))</f>
        <v>8.7551480958348122</v>
      </c>
    </row>
    <row r="3" spans="1:8" x14ac:dyDescent="0.25">
      <c r="A3" t="s">
        <v>7</v>
      </c>
      <c r="B3" s="1">
        <v>45172</v>
      </c>
      <c r="C3" s="2">
        <v>333.02</v>
      </c>
      <c r="D3">
        <v>-0.15</v>
      </c>
      <c r="E3" s="3">
        <v>324.69929999999999</v>
      </c>
      <c r="F3" s="5">
        <f t="shared" ref="F3:F10" si="0">(E3-C3)/C3</f>
        <v>-2.4985586451264155E-2</v>
      </c>
      <c r="G3" s="3">
        <f t="shared" ref="G3:G10" si="1">(E3-C3)^2</f>
        <v>69.234048489999793</v>
      </c>
    </row>
    <row r="4" spans="1:8" x14ac:dyDescent="0.25">
      <c r="A4" t="s">
        <v>11</v>
      </c>
      <c r="B4" s="1">
        <v>45286</v>
      </c>
      <c r="C4" s="2">
        <v>68.989999999999995</v>
      </c>
      <c r="D4">
        <v>-0.25</v>
      </c>
      <c r="E4" s="3">
        <v>66.355999999999995</v>
      </c>
      <c r="F4" s="5">
        <f t="shared" si="0"/>
        <v>-3.817944629656473E-2</v>
      </c>
      <c r="G4" s="3">
        <f t="shared" si="1"/>
        <v>6.9379560000000016</v>
      </c>
    </row>
    <row r="5" spans="1:8" x14ac:dyDescent="0.25">
      <c r="A5" t="s">
        <v>11</v>
      </c>
      <c r="B5" s="1">
        <v>45645</v>
      </c>
      <c r="C5" s="2">
        <v>21.53</v>
      </c>
      <c r="D5">
        <v>-0.1</v>
      </c>
      <c r="E5" s="3">
        <v>22.502199999999998</v>
      </c>
      <c r="F5" s="5">
        <f t="shared" si="0"/>
        <v>4.515559684161622E-2</v>
      </c>
      <c r="G5" s="3">
        <f t="shared" si="1"/>
        <v>0.94517283999999469</v>
      </c>
    </row>
    <row r="6" spans="1:8" x14ac:dyDescent="0.25">
      <c r="A6" t="s">
        <v>11</v>
      </c>
      <c r="B6" s="1">
        <v>44703</v>
      </c>
      <c r="C6" s="2">
        <v>128.36000000000001</v>
      </c>
      <c r="D6">
        <v>-0.4</v>
      </c>
      <c r="E6" s="3">
        <v>107.9676</v>
      </c>
      <c r="F6" s="5">
        <f t="shared" si="0"/>
        <v>-0.15886880648177007</v>
      </c>
      <c r="G6" s="3">
        <f t="shared" si="1"/>
        <v>415.8499777600004</v>
      </c>
    </row>
    <row r="7" spans="1:8" x14ac:dyDescent="0.25">
      <c r="A7" t="s">
        <v>12</v>
      </c>
      <c r="B7" s="1">
        <v>45440</v>
      </c>
      <c r="C7" s="2">
        <v>218.59</v>
      </c>
      <c r="D7">
        <v>-0.1</v>
      </c>
      <c r="E7" s="3">
        <v>213.93539999999999</v>
      </c>
      <c r="F7" s="5">
        <f t="shared" si="0"/>
        <v>-2.1293746282995636E-2</v>
      </c>
      <c r="G7" s="3">
        <f t="shared" si="1"/>
        <v>21.665301160000151</v>
      </c>
    </row>
    <row r="8" spans="1:8" x14ac:dyDescent="0.25">
      <c r="A8" t="s">
        <v>12</v>
      </c>
      <c r="B8" s="1">
        <v>44589</v>
      </c>
      <c r="C8" s="2">
        <v>627.15</v>
      </c>
      <c r="D8">
        <v>-0.25</v>
      </c>
      <c r="E8" s="3">
        <v>616.29750000000001</v>
      </c>
      <c r="F8" s="5">
        <f t="shared" si="0"/>
        <v>-1.7304472614207068E-2</v>
      </c>
      <c r="G8" s="3">
        <f t="shared" si="1"/>
        <v>117.77675624999921</v>
      </c>
    </row>
    <row r="9" spans="1:8" x14ac:dyDescent="0.25">
      <c r="A9" t="s">
        <v>13</v>
      </c>
      <c r="B9" s="1">
        <v>45659</v>
      </c>
      <c r="C9" s="2">
        <v>113.27</v>
      </c>
      <c r="D9">
        <v>-0.25</v>
      </c>
      <c r="E9" s="3">
        <v>108.873</v>
      </c>
      <c r="F9" s="5">
        <f t="shared" si="0"/>
        <v>-3.8818751655336728E-2</v>
      </c>
      <c r="G9" s="3">
        <f t="shared" si="1"/>
        <v>19.333608999999925</v>
      </c>
    </row>
    <row r="10" spans="1:8" x14ac:dyDescent="0.25">
      <c r="A10" t="s">
        <v>13</v>
      </c>
      <c r="B10" s="1">
        <v>45171</v>
      </c>
      <c r="C10" s="2">
        <v>252.97</v>
      </c>
      <c r="D10">
        <v>-0.1</v>
      </c>
      <c r="E10" s="3">
        <v>248.91659999999999</v>
      </c>
      <c r="F10" s="5">
        <f t="shared" si="0"/>
        <v>-1.6023243862908688E-2</v>
      </c>
      <c r="G10" s="3">
        <f t="shared" si="1"/>
        <v>16.430051560000084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E40E-7D36-4F5B-9783-FF9C428BAB09}">
  <dimension ref="A1:G85"/>
  <sheetViews>
    <sheetView workbookViewId="0">
      <selection activeCell="C2" sqref="C2"/>
    </sheetView>
  </sheetViews>
  <sheetFormatPr defaultRowHeight="15" x14ac:dyDescent="0.25"/>
  <cols>
    <col min="2" max="2" width="10.42578125" bestFit="1" customWidth="1"/>
    <col min="3" max="3" width="10.42578125" customWidth="1"/>
    <col min="5" max="5" width="11.140625" hidden="1" customWidth="1"/>
  </cols>
  <sheetData>
    <row r="1" spans="1:7" x14ac:dyDescent="0.25">
      <c r="A1" t="s">
        <v>0</v>
      </c>
      <c r="B1" t="s">
        <v>1</v>
      </c>
      <c r="C1" t="s">
        <v>21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45653</v>
      </c>
      <c r="C2" s="2">
        <v>172.35</v>
      </c>
      <c r="D2">
        <v>-0.4</v>
      </c>
      <c r="E2" t="s">
        <v>8</v>
      </c>
      <c r="F2" s="3">
        <v>264.04000000000002</v>
      </c>
      <c r="G2" s="3" t="s">
        <v>9</v>
      </c>
    </row>
    <row r="3" spans="1:7" x14ac:dyDescent="0.25">
      <c r="A3" t="s">
        <v>7</v>
      </c>
      <c r="B3" s="1">
        <v>45653</v>
      </c>
      <c r="C3" s="2">
        <v>172.35</v>
      </c>
      <c r="D3">
        <v>-0.35</v>
      </c>
      <c r="E3" t="s">
        <v>8</v>
      </c>
      <c r="F3" s="3">
        <v>242.07</v>
      </c>
      <c r="G3" s="3" t="s">
        <v>9</v>
      </c>
    </row>
    <row r="4" spans="1:7" x14ac:dyDescent="0.25">
      <c r="A4" t="s">
        <v>7</v>
      </c>
      <c r="B4" s="1">
        <v>45653</v>
      </c>
      <c r="C4" s="2">
        <v>172.35</v>
      </c>
      <c r="D4">
        <v>-0.3</v>
      </c>
      <c r="E4" t="s">
        <v>8</v>
      </c>
      <c r="F4" s="3">
        <v>224.47980000000001</v>
      </c>
      <c r="G4" s="3" t="s">
        <v>9</v>
      </c>
    </row>
    <row r="5" spans="1:7" x14ac:dyDescent="0.25">
      <c r="A5" t="s">
        <v>7</v>
      </c>
      <c r="B5" s="1">
        <v>45653</v>
      </c>
      <c r="C5" s="2">
        <v>172.35</v>
      </c>
      <c r="D5">
        <v>-0.25</v>
      </c>
      <c r="E5" t="s">
        <v>8</v>
      </c>
      <c r="F5" s="3">
        <v>205.5591</v>
      </c>
      <c r="G5" s="3" t="s">
        <v>9</v>
      </c>
    </row>
    <row r="6" spans="1:7" x14ac:dyDescent="0.25">
      <c r="A6" t="s">
        <v>7</v>
      </c>
      <c r="B6" s="1">
        <v>45653</v>
      </c>
      <c r="C6" s="2">
        <v>172.35</v>
      </c>
      <c r="D6">
        <v>-0.2</v>
      </c>
      <c r="E6" t="s">
        <v>8</v>
      </c>
      <c r="F6" s="3">
        <v>190.1943</v>
      </c>
      <c r="G6" s="3" t="s">
        <v>9</v>
      </c>
    </row>
    <row r="7" spans="1:7" x14ac:dyDescent="0.25">
      <c r="A7" t="s">
        <v>7</v>
      </c>
      <c r="B7" s="1">
        <v>45653</v>
      </c>
      <c r="C7" s="2">
        <v>172.35</v>
      </c>
      <c r="D7">
        <v>-0.15</v>
      </c>
      <c r="E7" t="s">
        <v>8</v>
      </c>
      <c r="F7" s="3">
        <v>181.90799999999999</v>
      </c>
      <c r="G7" s="3" t="s">
        <v>9</v>
      </c>
    </row>
    <row r="8" spans="1:7" x14ac:dyDescent="0.25">
      <c r="A8" t="s">
        <v>7</v>
      </c>
      <c r="B8" s="1">
        <v>45653</v>
      </c>
      <c r="C8" s="2">
        <v>172.35</v>
      </c>
      <c r="D8">
        <v>-0.1</v>
      </c>
      <c r="E8" t="s">
        <v>8</v>
      </c>
      <c r="F8" s="3">
        <v>177.00839999999999</v>
      </c>
      <c r="G8" s="12" t="s">
        <v>10</v>
      </c>
    </row>
    <row r="9" spans="1:7" x14ac:dyDescent="0.25">
      <c r="A9" t="s">
        <v>7</v>
      </c>
      <c r="B9" s="1">
        <v>45653</v>
      </c>
      <c r="C9" s="2">
        <v>172.35</v>
      </c>
      <c r="D9">
        <v>-0.05</v>
      </c>
      <c r="E9" t="s">
        <v>8</v>
      </c>
      <c r="F9" s="3">
        <v>174.1446</v>
      </c>
      <c r="G9" s="3" t="s">
        <v>9</v>
      </c>
    </row>
    <row r="10" spans="1:7" x14ac:dyDescent="0.25">
      <c r="A10" t="s">
        <v>7</v>
      </c>
      <c r="B10" s="1">
        <v>45172</v>
      </c>
      <c r="C10" s="2">
        <v>333.02</v>
      </c>
      <c r="D10">
        <v>-0.4</v>
      </c>
      <c r="E10" t="s">
        <v>8</v>
      </c>
      <c r="F10" s="3">
        <v>456.08210000000003</v>
      </c>
      <c r="G10" s="3" t="s">
        <v>9</v>
      </c>
    </row>
    <row r="11" spans="1:7" x14ac:dyDescent="0.25">
      <c r="A11" t="s">
        <v>7</v>
      </c>
      <c r="B11" s="1">
        <v>45172</v>
      </c>
      <c r="C11" s="2">
        <v>333.02</v>
      </c>
      <c r="D11">
        <v>-0.35</v>
      </c>
      <c r="E11" t="s">
        <v>8</v>
      </c>
      <c r="F11" s="3">
        <v>386.78300000000002</v>
      </c>
      <c r="G11" s="3" t="s">
        <v>9</v>
      </c>
    </row>
    <row r="12" spans="1:7" x14ac:dyDescent="0.25">
      <c r="A12" t="s">
        <v>7</v>
      </c>
      <c r="B12" s="1">
        <v>45172</v>
      </c>
      <c r="C12" s="2">
        <v>333.02</v>
      </c>
      <c r="D12">
        <v>-0.3</v>
      </c>
      <c r="E12" t="s">
        <v>8</v>
      </c>
      <c r="F12" s="3">
        <v>350.62986999999998</v>
      </c>
      <c r="G12" s="3" t="s">
        <v>9</v>
      </c>
    </row>
    <row r="13" spans="1:7" x14ac:dyDescent="0.25">
      <c r="A13" t="s">
        <v>7</v>
      </c>
      <c r="B13" s="1">
        <v>45172</v>
      </c>
      <c r="C13" s="2">
        <v>333.02</v>
      </c>
      <c r="D13">
        <v>-0.25</v>
      </c>
      <c r="E13" t="s">
        <v>8</v>
      </c>
      <c r="F13" s="3">
        <v>338.68079999999998</v>
      </c>
      <c r="G13" s="3" t="s">
        <v>9</v>
      </c>
    </row>
    <row r="14" spans="1:7" x14ac:dyDescent="0.25">
      <c r="A14" t="s">
        <v>7</v>
      </c>
      <c r="B14" s="1">
        <v>45172</v>
      </c>
      <c r="C14" s="2">
        <v>333.02</v>
      </c>
      <c r="D14">
        <v>-0.2</v>
      </c>
      <c r="E14" t="s">
        <v>8</v>
      </c>
      <c r="F14" s="3">
        <v>329.84190000000001</v>
      </c>
      <c r="G14" s="3" t="s">
        <v>9</v>
      </c>
    </row>
    <row r="15" spans="1:7" x14ac:dyDescent="0.25">
      <c r="A15" t="s">
        <v>7</v>
      </c>
      <c r="B15" s="1">
        <v>45172</v>
      </c>
      <c r="C15" s="2">
        <v>333.02</v>
      </c>
      <c r="D15">
        <v>-0.15</v>
      </c>
      <c r="E15" t="s">
        <v>8</v>
      </c>
      <c r="F15" s="3">
        <v>324.69929999999999</v>
      </c>
      <c r="G15" s="12" t="s">
        <v>10</v>
      </c>
    </row>
    <row r="16" spans="1:7" x14ac:dyDescent="0.25">
      <c r="A16" t="s">
        <v>7</v>
      </c>
      <c r="B16" s="1">
        <v>45172</v>
      </c>
      <c r="C16" s="2">
        <v>333.02</v>
      </c>
      <c r="D16">
        <v>-0.1</v>
      </c>
      <c r="E16" t="s">
        <v>8</v>
      </c>
      <c r="F16" s="3">
        <v>322.50060000000002</v>
      </c>
      <c r="G16" s="3" t="s">
        <v>9</v>
      </c>
    </row>
    <row r="17" spans="1:7" x14ac:dyDescent="0.25">
      <c r="A17" t="s">
        <v>7</v>
      </c>
      <c r="B17" s="1">
        <v>45172</v>
      </c>
      <c r="C17" s="2">
        <v>333.02</v>
      </c>
      <c r="D17">
        <v>-0.05</v>
      </c>
      <c r="E17" t="s">
        <v>8</v>
      </c>
      <c r="F17" s="3">
        <v>320.71140000000003</v>
      </c>
      <c r="G17" s="3" t="s">
        <v>9</v>
      </c>
    </row>
    <row r="18" spans="1:7" x14ac:dyDescent="0.25">
      <c r="A18" t="s">
        <v>11</v>
      </c>
      <c r="B18" s="1">
        <v>45286</v>
      </c>
      <c r="C18" s="2">
        <v>68.989999999999995</v>
      </c>
      <c r="D18">
        <v>-0.4</v>
      </c>
      <c r="E18" t="s">
        <v>8</v>
      </c>
      <c r="F18" s="3">
        <v>80.933000000000007</v>
      </c>
      <c r="G18" s="3" t="s">
        <v>9</v>
      </c>
    </row>
    <row r="19" spans="1:7" x14ac:dyDescent="0.25">
      <c r="A19" t="s">
        <v>11</v>
      </c>
      <c r="B19" s="1">
        <v>45286</v>
      </c>
      <c r="C19" s="2">
        <v>68.989999999999995</v>
      </c>
      <c r="D19">
        <v>-0.35</v>
      </c>
      <c r="E19" t="s">
        <v>8</v>
      </c>
      <c r="F19" s="3">
        <v>73.864999999999995</v>
      </c>
      <c r="G19" s="3" t="s">
        <v>9</v>
      </c>
    </row>
    <row r="20" spans="1:7" x14ac:dyDescent="0.25">
      <c r="A20" t="s">
        <v>11</v>
      </c>
      <c r="B20" s="1">
        <v>45286</v>
      </c>
      <c r="C20" s="2">
        <v>68.989999999999995</v>
      </c>
      <c r="D20">
        <v>-0.3</v>
      </c>
      <c r="E20" t="s">
        <v>8</v>
      </c>
      <c r="F20" s="3">
        <v>69.731499999999997</v>
      </c>
      <c r="G20" s="3" t="s">
        <v>9</v>
      </c>
    </row>
    <row r="21" spans="1:7" x14ac:dyDescent="0.25">
      <c r="A21" t="s">
        <v>11</v>
      </c>
      <c r="B21" s="1">
        <v>45286</v>
      </c>
      <c r="C21" s="2">
        <v>68.989999999999995</v>
      </c>
      <c r="D21">
        <v>-0.25</v>
      </c>
      <c r="E21" t="s">
        <v>8</v>
      </c>
      <c r="F21" s="3">
        <v>66.355999999999995</v>
      </c>
      <c r="G21" s="12" t="s">
        <v>10</v>
      </c>
    </row>
    <row r="22" spans="1:7" x14ac:dyDescent="0.25">
      <c r="A22" t="s">
        <v>11</v>
      </c>
      <c r="B22" s="1">
        <v>45286</v>
      </c>
      <c r="C22" s="2">
        <v>68.989999999999995</v>
      </c>
      <c r="D22">
        <v>-0.2</v>
      </c>
      <c r="E22" t="s">
        <v>8</v>
      </c>
      <c r="F22" s="3">
        <v>63.405000000000001</v>
      </c>
      <c r="G22" s="3" t="s">
        <v>9</v>
      </c>
    </row>
    <row r="23" spans="1:7" x14ac:dyDescent="0.25">
      <c r="A23" t="s">
        <v>11</v>
      </c>
      <c r="B23" s="1">
        <v>45286</v>
      </c>
      <c r="C23" s="2">
        <v>68.989999999999995</v>
      </c>
      <c r="D23">
        <v>-0.15</v>
      </c>
      <c r="E23" t="s">
        <v>8</v>
      </c>
      <c r="F23" s="3">
        <v>59.635800000000003</v>
      </c>
      <c r="G23" s="3" t="s">
        <v>9</v>
      </c>
    </row>
    <row r="24" spans="1:7" x14ac:dyDescent="0.25">
      <c r="A24" t="s">
        <v>11</v>
      </c>
      <c r="B24" s="1">
        <v>45286</v>
      </c>
      <c r="C24" s="2">
        <v>68.989999999999995</v>
      </c>
      <c r="D24">
        <v>-0.1</v>
      </c>
      <c r="E24" t="s">
        <v>8</v>
      </c>
      <c r="F24" s="3">
        <v>51.063299999999998</v>
      </c>
      <c r="G24" s="3" t="s">
        <v>9</v>
      </c>
    </row>
    <row r="25" spans="1:7" x14ac:dyDescent="0.25">
      <c r="A25" t="s">
        <v>11</v>
      </c>
      <c r="B25" s="1">
        <v>45286</v>
      </c>
      <c r="C25" s="2">
        <v>68.989999999999995</v>
      </c>
      <c r="D25">
        <v>-0.05</v>
      </c>
      <c r="E25" t="s">
        <v>8</v>
      </c>
      <c r="F25" s="3">
        <v>9.6884999999999994</v>
      </c>
      <c r="G25" s="3" t="s">
        <v>9</v>
      </c>
    </row>
    <row r="26" spans="1:7" x14ac:dyDescent="0.25">
      <c r="A26" t="s">
        <v>11</v>
      </c>
      <c r="B26" s="1">
        <v>45645</v>
      </c>
      <c r="C26" s="2">
        <v>21.53</v>
      </c>
      <c r="D26">
        <v>-0.4</v>
      </c>
      <c r="E26" t="s">
        <v>8</v>
      </c>
      <c r="F26" s="3">
        <v>70.741</v>
      </c>
      <c r="G26" s="3" t="s">
        <v>9</v>
      </c>
    </row>
    <row r="27" spans="1:7" x14ac:dyDescent="0.25">
      <c r="A27" t="s">
        <v>11</v>
      </c>
      <c r="B27" s="1">
        <v>45645</v>
      </c>
      <c r="C27" s="2">
        <v>21.53</v>
      </c>
      <c r="D27">
        <v>-0.35</v>
      </c>
      <c r="E27" t="s">
        <v>8</v>
      </c>
      <c r="F27" s="3">
        <v>53.8292</v>
      </c>
      <c r="G27" s="3" t="s">
        <v>9</v>
      </c>
    </row>
    <row r="28" spans="1:7" x14ac:dyDescent="0.25">
      <c r="A28" t="s">
        <v>11</v>
      </c>
      <c r="B28" s="1">
        <v>45645</v>
      </c>
      <c r="C28" s="2">
        <v>21.53</v>
      </c>
      <c r="D28">
        <v>-0.3</v>
      </c>
      <c r="E28" t="s">
        <v>8</v>
      </c>
      <c r="F28" s="3">
        <v>36.773000000000003</v>
      </c>
      <c r="G28" s="3" t="s">
        <v>9</v>
      </c>
    </row>
    <row r="29" spans="1:7" x14ac:dyDescent="0.25">
      <c r="A29" t="s">
        <v>11</v>
      </c>
      <c r="B29" s="1">
        <v>45645</v>
      </c>
      <c r="C29" s="2">
        <v>21.53</v>
      </c>
      <c r="D29">
        <v>-0.25</v>
      </c>
      <c r="E29" t="s">
        <v>8</v>
      </c>
      <c r="F29" s="3">
        <v>27.136800000000001</v>
      </c>
      <c r="G29" s="3" t="s">
        <v>9</v>
      </c>
    </row>
    <row r="30" spans="1:7" x14ac:dyDescent="0.25">
      <c r="A30" t="s">
        <v>11</v>
      </c>
      <c r="B30" s="1">
        <v>45645</v>
      </c>
      <c r="C30" s="2">
        <v>21.53</v>
      </c>
      <c r="D30">
        <v>-0.2</v>
      </c>
      <c r="E30" t="s">
        <v>8</v>
      </c>
      <c r="F30" s="3">
        <v>24.567799999999998</v>
      </c>
      <c r="G30" s="3" t="s">
        <v>9</v>
      </c>
    </row>
    <row r="31" spans="1:7" x14ac:dyDescent="0.25">
      <c r="A31" t="s">
        <v>11</v>
      </c>
      <c r="B31" s="1">
        <v>45645</v>
      </c>
      <c r="C31" s="2">
        <v>21.53</v>
      </c>
      <c r="D31">
        <v>-0.15</v>
      </c>
      <c r="E31" t="s">
        <v>8</v>
      </c>
      <c r="F31" s="3">
        <v>23.405000000000001</v>
      </c>
      <c r="G31" s="3" t="s">
        <v>9</v>
      </c>
    </row>
    <row r="32" spans="1:7" x14ac:dyDescent="0.25">
      <c r="A32" t="s">
        <v>11</v>
      </c>
      <c r="B32" s="1">
        <v>45645</v>
      </c>
      <c r="C32" s="2">
        <v>21.53</v>
      </c>
      <c r="D32">
        <v>-0.1</v>
      </c>
      <c r="E32" t="s">
        <v>8</v>
      </c>
      <c r="F32" s="3">
        <v>22.502199999999998</v>
      </c>
      <c r="G32" s="12" t="s">
        <v>10</v>
      </c>
    </row>
    <row r="33" spans="1:7" x14ac:dyDescent="0.25">
      <c r="A33" t="s">
        <v>11</v>
      </c>
      <c r="B33" s="1">
        <v>45645</v>
      </c>
      <c r="C33" s="2">
        <v>21.53</v>
      </c>
      <c r="D33">
        <v>-0.05</v>
      </c>
      <c r="E33" t="s">
        <v>8</v>
      </c>
      <c r="F33" s="3">
        <v>21.771000000000001</v>
      </c>
      <c r="G33" s="3" t="s">
        <v>9</v>
      </c>
    </row>
    <row r="34" spans="1:7" x14ac:dyDescent="0.25">
      <c r="A34" t="s">
        <v>11</v>
      </c>
      <c r="B34" s="1">
        <v>44703</v>
      </c>
      <c r="C34" s="2">
        <v>128.36000000000001</v>
      </c>
      <c r="D34">
        <v>-0.4</v>
      </c>
      <c r="E34" t="s">
        <v>8</v>
      </c>
      <c r="F34" s="3">
        <v>107.9676</v>
      </c>
      <c r="G34" s="12" t="s">
        <v>10</v>
      </c>
    </row>
    <row r="35" spans="1:7" x14ac:dyDescent="0.25">
      <c r="A35" t="s">
        <v>11</v>
      </c>
      <c r="B35" s="1">
        <v>44703</v>
      </c>
      <c r="C35" s="2">
        <v>128.36000000000001</v>
      </c>
      <c r="D35">
        <v>-0.35</v>
      </c>
      <c r="E35" t="s">
        <v>8</v>
      </c>
      <c r="F35" s="3">
        <v>105.006</v>
      </c>
      <c r="G35" s="3" t="s">
        <v>9</v>
      </c>
    </row>
    <row r="36" spans="1:7" x14ac:dyDescent="0.25">
      <c r="A36" t="s">
        <v>11</v>
      </c>
      <c r="B36" s="1">
        <v>44703</v>
      </c>
      <c r="C36" s="2">
        <v>128.36000000000001</v>
      </c>
      <c r="D36">
        <v>-0.3</v>
      </c>
      <c r="E36" t="s">
        <v>8</v>
      </c>
      <c r="F36" s="3">
        <v>102.35339999999999</v>
      </c>
      <c r="G36" s="3" t="s">
        <v>9</v>
      </c>
    </row>
    <row r="37" spans="1:7" x14ac:dyDescent="0.25">
      <c r="A37" t="s">
        <v>11</v>
      </c>
      <c r="B37" s="1">
        <v>44703</v>
      </c>
      <c r="C37" s="2">
        <v>128.36000000000001</v>
      </c>
      <c r="D37">
        <v>-0.25</v>
      </c>
      <c r="E37" t="s">
        <v>8</v>
      </c>
      <c r="F37" s="3">
        <v>99.823700000000002</v>
      </c>
      <c r="G37" s="3" t="s">
        <v>9</v>
      </c>
    </row>
    <row r="38" spans="1:7" x14ac:dyDescent="0.25">
      <c r="A38" t="s">
        <v>11</v>
      </c>
      <c r="B38" s="1">
        <v>44703</v>
      </c>
      <c r="C38" s="2">
        <v>128.36000000000001</v>
      </c>
      <c r="D38">
        <v>-0.2</v>
      </c>
      <c r="E38" t="s">
        <v>8</v>
      </c>
      <c r="F38" s="3">
        <v>97.395899999999997</v>
      </c>
      <c r="G38" s="3" t="s">
        <v>9</v>
      </c>
    </row>
    <row r="39" spans="1:7" x14ac:dyDescent="0.25">
      <c r="A39" t="s">
        <v>11</v>
      </c>
      <c r="B39" s="1">
        <v>44703</v>
      </c>
      <c r="C39" s="2">
        <v>128.36000000000001</v>
      </c>
      <c r="D39">
        <v>-0.15</v>
      </c>
      <c r="E39" t="s">
        <v>8</v>
      </c>
      <c r="F39" s="3">
        <v>95.039500000000004</v>
      </c>
      <c r="G39" s="3" t="s">
        <v>9</v>
      </c>
    </row>
    <row r="40" spans="1:7" x14ac:dyDescent="0.25">
      <c r="A40" t="s">
        <v>11</v>
      </c>
      <c r="B40" s="1">
        <v>44703</v>
      </c>
      <c r="C40" s="2">
        <v>128.36000000000001</v>
      </c>
      <c r="D40">
        <v>-0.1</v>
      </c>
      <c r="E40" t="s">
        <v>8</v>
      </c>
      <c r="F40" s="3">
        <v>92.558999999999997</v>
      </c>
      <c r="G40" s="3" t="s">
        <v>9</v>
      </c>
    </row>
    <row r="41" spans="1:7" x14ac:dyDescent="0.25">
      <c r="A41" t="s">
        <v>11</v>
      </c>
      <c r="B41" s="1">
        <v>44703</v>
      </c>
      <c r="C41" s="2">
        <v>128.36000000000001</v>
      </c>
      <c r="D41">
        <v>-0.05</v>
      </c>
      <c r="E41" t="s">
        <v>8</v>
      </c>
      <c r="F41" s="3">
        <v>89.764200000000002</v>
      </c>
      <c r="G41" s="3" t="s">
        <v>9</v>
      </c>
    </row>
    <row r="42" spans="1:7" x14ac:dyDescent="0.25">
      <c r="A42" t="s">
        <v>12</v>
      </c>
      <c r="B42" s="1">
        <v>45440</v>
      </c>
      <c r="C42" s="2">
        <v>218.59</v>
      </c>
      <c r="D42">
        <v>-0.4</v>
      </c>
      <c r="E42" t="s">
        <v>8</v>
      </c>
      <c r="F42" s="3">
        <v>1116.8561999999999</v>
      </c>
      <c r="G42" s="3" t="s">
        <v>9</v>
      </c>
    </row>
    <row r="43" spans="1:7" x14ac:dyDescent="0.25">
      <c r="A43" t="s">
        <v>12</v>
      </c>
      <c r="B43" s="1">
        <v>45440</v>
      </c>
      <c r="C43" s="2">
        <v>218.59</v>
      </c>
      <c r="D43">
        <v>-0.35</v>
      </c>
      <c r="E43" t="s">
        <v>8</v>
      </c>
      <c r="F43" s="3">
        <v>777.52250000000004</v>
      </c>
      <c r="G43" s="3" t="s">
        <v>9</v>
      </c>
    </row>
    <row r="44" spans="1:7" x14ac:dyDescent="0.25">
      <c r="A44" t="s">
        <v>12</v>
      </c>
      <c r="B44" s="1">
        <v>45440</v>
      </c>
      <c r="C44" s="2">
        <v>218.59</v>
      </c>
      <c r="D44">
        <v>-0.3</v>
      </c>
      <c r="E44" t="s">
        <v>8</v>
      </c>
      <c r="F44" s="3">
        <v>469.65800000000002</v>
      </c>
      <c r="G44" s="3" t="s">
        <v>9</v>
      </c>
    </row>
    <row r="45" spans="1:7" x14ac:dyDescent="0.25">
      <c r="A45" t="s">
        <v>12</v>
      </c>
      <c r="B45" s="1">
        <v>45440</v>
      </c>
      <c r="C45" s="2">
        <v>218.59</v>
      </c>
      <c r="D45">
        <v>-0.25</v>
      </c>
      <c r="E45" t="s">
        <v>8</v>
      </c>
      <c r="F45" s="3">
        <v>340.11822000000001</v>
      </c>
      <c r="G45" s="3" t="s">
        <v>9</v>
      </c>
    </row>
    <row r="46" spans="1:7" x14ac:dyDescent="0.25">
      <c r="A46" t="s">
        <v>12</v>
      </c>
      <c r="B46" s="1">
        <v>45440</v>
      </c>
      <c r="C46" s="2">
        <v>218.59</v>
      </c>
      <c r="D46">
        <v>-0.2</v>
      </c>
      <c r="E46" t="s">
        <v>8</v>
      </c>
      <c r="F46" s="3">
        <v>264.84399999999999</v>
      </c>
      <c r="G46" s="3" t="s">
        <v>9</v>
      </c>
    </row>
    <row r="47" spans="1:7" x14ac:dyDescent="0.25">
      <c r="A47" t="s">
        <v>12</v>
      </c>
      <c r="B47" s="1">
        <v>45440</v>
      </c>
      <c r="C47" s="2">
        <v>218.59</v>
      </c>
      <c r="D47">
        <v>-0.15</v>
      </c>
      <c r="E47" t="s">
        <v>8</v>
      </c>
      <c r="F47" s="3">
        <v>217.57769999999999</v>
      </c>
      <c r="G47" s="3" t="s">
        <v>9</v>
      </c>
    </row>
    <row r="48" spans="1:7" x14ac:dyDescent="0.25">
      <c r="A48" t="s">
        <v>12</v>
      </c>
      <c r="B48" s="1">
        <v>45440</v>
      </c>
      <c r="C48" s="2">
        <v>218.59</v>
      </c>
      <c r="D48">
        <v>-0.1</v>
      </c>
      <c r="E48" t="s">
        <v>8</v>
      </c>
      <c r="F48" s="3">
        <v>213.93539999999999</v>
      </c>
      <c r="G48" s="12" t="s">
        <v>10</v>
      </c>
    </row>
    <row r="49" spans="1:7" x14ac:dyDescent="0.25">
      <c r="A49" t="s">
        <v>12</v>
      </c>
      <c r="B49" s="1">
        <v>45440</v>
      </c>
      <c r="C49" s="2">
        <v>218.59</v>
      </c>
      <c r="D49">
        <v>-0.05</v>
      </c>
      <c r="E49" t="s">
        <v>8</v>
      </c>
      <c r="F49" s="3">
        <v>212.22540000000001</v>
      </c>
      <c r="G49" s="3" t="s">
        <v>9</v>
      </c>
    </row>
    <row r="50" spans="1:7" x14ac:dyDescent="0.25">
      <c r="A50" t="s">
        <v>12</v>
      </c>
      <c r="B50" s="1">
        <v>44589</v>
      </c>
      <c r="C50" s="2">
        <v>627.15</v>
      </c>
      <c r="D50">
        <v>-0.4</v>
      </c>
      <c r="E50" t="s">
        <v>8</v>
      </c>
      <c r="F50" s="3">
        <v>635.69100000000003</v>
      </c>
      <c r="G50" s="3" t="s">
        <v>9</v>
      </c>
    </row>
    <row r="51" spans="1:7" x14ac:dyDescent="0.25">
      <c r="A51" t="s">
        <v>12</v>
      </c>
      <c r="B51" s="1">
        <v>44589</v>
      </c>
      <c r="C51" s="2">
        <v>627.15</v>
      </c>
      <c r="D51">
        <v>-0.35</v>
      </c>
      <c r="E51" t="s">
        <v>8</v>
      </c>
      <c r="F51" s="3">
        <v>624.94569999999999</v>
      </c>
      <c r="G51" s="3" t="s">
        <v>9</v>
      </c>
    </row>
    <row r="52" spans="1:7" x14ac:dyDescent="0.25">
      <c r="A52" t="s">
        <v>12</v>
      </c>
      <c r="B52" s="1">
        <v>44589</v>
      </c>
      <c r="C52" s="2">
        <v>627.15</v>
      </c>
      <c r="D52">
        <v>-0.3</v>
      </c>
      <c r="E52" t="s">
        <v>8</v>
      </c>
      <c r="F52" s="3">
        <v>619.38980000000004</v>
      </c>
      <c r="G52" s="3" t="s">
        <v>9</v>
      </c>
    </row>
    <row r="53" spans="1:7" x14ac:dyDescent="0.25">
      <c r="A53" t="s">
        <v>12</v>
      </c>
      <c r="B53" s="1">
        <v>44589</v>
      </c>
      <c r="C53" s="2">
        <v>627.15</v>
      </c>
      <c r="D53">
        <v>-0.25</v>
      </c>
      <c r="E53" t="s">
        <v>8</v>
      </c>
      <c r="F53" s="3">
        <v>616.29750000000001</v>
      </c>
      <c r="G53" s="12" t="s">
        <v>10</v>
      </c>
    </row>
    <row r="54" spans="1:7" x14ac:dyDescent="0.25">
      <c r="A54" t="s">
        <v>12</v>
      </c>
      <c r="B54" s="1">
        <v>44589</v>
      </c>
      <c r="C54" s="2">
        <v>627.15</v>
      </c>
      <c r="D54">
        <v>-0.2</v>
      </c>
      <c r="E54" t="s">
        <v>8</v>
      </c>
      <c r="F54" s="3">
        <v>613.5163</v>
      </c>
      <c r="G54" s="3" t="s">
        <v>9</v>
      </c>
    </row>
    <row r="55" spans="1:7" x14ac:dyDescent="0.25">
      <c r="A55" t="s">
        <v>12</v>
      </c>
      <c r="B55" s="1">
        <v>44589</v>
      </c>
      <c r="C55" s="2">
        <v>627.15</v>
      </c>
      <c r="D55">
        <v>-0.15</v>
      </c>
      <c r="E55" t="s">
        <v>8</v>
      </c>
      <c r="F55" s="3">
        <v>610.96600000000001</v>
      </c>
      <c r="G55" s="3" t="s">
        <v>9</v>
      </c>
    </row>
    <row r="56" spans="1:7" x14ac:dyDescent="0.25">
      <c r="A56" t="s">
        <v>12</v>
      </c>
      <c r="B56" s="1">
        <v>44589</v>
      </c>
      <c r="C56" s="2">
        <v>627.15</v>
      </c>
      <c r="D56">
        <v>-0.1</v>
      </c>
      <c r="E56" t="s">
        <v>8</v>
      </c>
      <c r="F56" s="3">
        <v>608.17999999999995</v>
      </c>
      <c r="G56" s="3" t="s">
        <v>9</v>
      </c>
    </row>
    <row r="57" spans="1:7" x14ac:dyDescent="0.25">
      <c r="A57" t="s">
        <v>12</v>
      </c>
      <c r="B57" s="1">
        <v>44589</v>
      </c>
      <c r="C57" s="2">
        <v>627.15</v>
      </c>
      <c r="D57">
        <v>-0.05</v>
      </c>
      <c r="E57" t="s">
        <v>8</v>
      </c>
      <c r="F57" s="3">
        <v>605.32759999999996</v>
      </c>
      <c r="G57" s="3" t="s">
        <v>9</v>
      </c>
    </row>
    <row r="58" spans="1:7" x14ac:dyDescent="0.25">
      <c r="A58" t="s">
        <v>13</v>
      </c>
      <c r="B58" s="1">
        <v>45659</v>
      </c>
      <c r="C58" s="2">
        <v>113.27</v>
      </c>
      <c r="D58">
        <v>-0.4</v>
      </c>
      <c r="E58" t="s">
        <v>8</v>
      </c>
      <c r="F58" s="3">
        <v>205.31970000000001</v>
      </c>
      <c r="G58" s="3" t="s">
        <v>9</v>
      </c>
    </row>
    <row r="59" spans="1:7" x14ac:dyDescent="0.25">
      <c r="A59" t="s">
        <v>13</v>
      </c>
      <c r="B59" s="1">
        <v>45659</v>
      </c>
      <c r="C59" s="2">
        <v>113.27</v>
      </c>
      <c r="D59">
        <v>-0.35</v>
      </c>
      <c r="E59" t="s">
        <v>8</v>
      </c>
      <c r="F59" s="3">
        <v>153.3339</v>
      </c>
      <c r="G59" s="3" t="s">
        <v>9</v>
      </c>
    </row>
    <row r="60" spans="1:7" x14ac:dyDescent="0.25">
      <c r="A60" t="s">
        <v>13</v>
      </c>
      <c r="B60" s="1">
        <v>45659</v>
      </c>
      <c r="C60" s="2">
        <v>113.27</v>
      </c>
      <c r="D60">
        <v>-0.3</v>
      </c>
      <c r="E60" t="s">
        <v>8</v>
      </c>
      <c r="F60" s="3">
        <v>113.589</v>
      </c>
      <c r="G60" s="3" t="s">
        <v>9</v>
      </c>
    </row>
    <row r="61" spans="1:7" x14ac:dyDescent="0.25">
      <c r="A61" t="s">
        <v>13</v>
      </c>
      <c r="B61" s="1">
        <v>45659</v>
      </c>
      <c r="C61" s="2">
        <v>113.27</v>
      </c>
      <c r="D61">
        <v>-0.25</v>
      </c>
      <c r="E61" t="s">
        <v>8</v>
      </c>
      <c r="F61" s="3">
        <v>108.873</v>
      </c>
      <c r="G61" s="12" t="s">
        <v>10</v>
      </c>
    </row>
    <row r="62" spans="1:7" x14ac:dyDescent="0.25">
      <c r="A62" t="s">
        <v>13</v>
      </c>
      <c r="B62" s="1">
        <v>45659</v>
      </c>
      <c r="C62" s="2">
        <v>113.27</v>
      </c>
      <c r="D62">
        <v>-0.2</v>
      </c>
      <c r="E62" t="s">
        <v>8</v>
      </c>
      <c r="F62" s="3">
        <v>106.19370000000001</v>
      </c>
      <c r="G62" s="3" t="s">
        <v>9</v>
      </c>
    </row>
    <row r="63" spans="1:7" x14ac:dyDescent="0.25">
      <c r="A63" t="s">
        <v>13</v>
      </c>
      <c r="B63" s="1">
        <v>45659</v>
      </c>
      <c r="C63" s="2">
        <v>113.27</v>
      </c>
      <c r="D63">
        <v>-0.15</v>
      </c>
      <c r="E63" t="s">
        <v>8</v>
      </c>
      <c r="F63" s="3">
        <v>102.7773</v>
      </c>
      <c r="G63" s="3" t="s">
        <v>9</v>
      </c>
    </row>
    <row r="64" spans="1:7" x14ac:dyDescent="0.25">
      <c r="A64" t="s">
        <v>13</v>
      </c>
      <c r="B64" s="1">
        <v>45659</v>
      </c>
      <c r="C64" s="2">
        <v>113.27</v>
      </c>
      <c r="D64">
        <v>-0.1</v>
      </c>
      <c r="E64" t="s">
        <v>8</v>
      </c>
      <c r="F64" s="3">
        <v>97.149600000000007</v>
      </c>
      <c r="G64" s="3" t="s">
        <v>9</v>
      </c>
    </row>
    <row r="65" spans="1:7" x14ac:dyDescent="0.25">
      <c r="A65" t="s">
        <v>13</v>
      </c>
      <c r="B65" s="1">
        <v>45659</v>
      </c>
      <c r="C65" s="2">
        <v>113.27</v>
      </c>
      <c r="D65">
        <v>-0.05</v>
      </c>
      <c r="E65" t="s">
        <v>8</v>
      </c>
      <c r="F65" s="3">
        <v>66.809700000000007</v>
      </c>
      <c r="G65" s="3" t="s">
        <v>9</v>
      </c>
    </row>
    <row r="66" spans="1:7" x14ac:dyDescent="0.25">
      <c r="A66" t="s">
        <v>13</v>
      </c>
      <c r="B66" s="1">
        <v>45171</v>
      </c>
      <c r="C66" s="2">
        <v>252.97</v>
      </c>
      <c r="D66">
        <v>-0.4</v>
      </c>
      <c r="E66" t="s">
        <v>8</v>
      </c>
      <c r="F66" s="3">
        <v>490.20830000000001</v>
      </c>
      <c r="G66" s="3" t="s">
        <v>9</v>
      </c>
    </row>
    <row r="67" spans="1:7" x14ac:dyDescent="0.25">
      <c r="A67" t="s">
        <v>13</v>
      </c>
      <c r="B67" s="1">
        <v>45171</v>
      </c>
      <c r="C67" s="2">
        <v>252.97</v>
      </c>
      <c r="D67">
        <v>-0.35</v>
      </c>
      <c r="E67" t="s">
        <v>8</v>
      </c>
      <c r="F67" s="3">
        <v>350.64449999999999</v>
      </c>
      <c r="G67" s="3" t="s">
        <v>9</v>
      </c>
    </row>
    <row r="68" spans="1:7" x14ac:dyDescent="0.25">
      <c r="A68" t="s">
        <v>13</v>
      </c>
      <c r="B68" s="1">
        <v>45171</v>
      </c>
      <c r="C68" s="2">
        <v>252.97</v>
      </c>
      <c r="D68">
        <v>-0.3</v>
      </c>
      <c r="E68" t="s">
        <v>8</v>
      </c>
      <c r="F68" s="3">
        <v>311.24970000000002</v>
      </c>
      <c r="G68" s="3" t="s">
        <v>9</v>
      </c>
    </row>
    <row r="69" spans="1:7" x14ac:dyDescent="0.25">
      <c r="A69" t="s">
        <v>13</v>
      </c>
      <c r="B69" s="1">
        <v>45171</v>
      </c>
      <c r="C69" s="2">
        <v>252.97</v>
      </c>
      <c r="D69">
        <v>-0.25</v>
      </c>
      <c r="E69" t="s">
        <v>8</v>
      </c>
      <c r="F69" s="3">
        <v>293.16149999999999</v>
      </c>
      <c r="G69" s="3" t="s">
        <v>9</v>
      </c>
    </row>
    <row r="70" spans="1:7" x14ac:dyDescent="0.25">
      <c r="A70" t="s">
        <v>13</v>
      </c>
      <c r="B70" s="1">
        <v>45171</v>
      </c>
      <c r="C70" s="2">
        <v>252.97</v>
      </c>
      <c r="D70">
        <v>-0.2</v>
      </c>
      <c r="E70" t="s">
        <v>8</v>
      </c>
      <c r="F70" s="3">
        <v>274.18860000000001</v>
      </c>
      <c r="G70" s="3" t="s">
        <v>9</v>
      </c>
    </row>
    <row r="71" spans="1:7" x14ac:dyDescent="0.25">
      <c r="A71" t="s">
        <v>13</v>
      </c>
      <c r="B71" s="1">
        <v>45171</v>
      </c>
      <c r="C71" s="2">
        <v>252.97</v>
      </c>
      <c r="D71">
        <v>-0.15</v>
      </c>
      <c r="E71" t="s">
        <v>8</v>
      </c>
      <c r="F71" s="3">
        <v>254.74590000000001</v>
      </c>
      <c r="G71" s="3" t="s">
        <v>9</v>
      </c>
    </row>
    <row r="72" spans="1:7" x14ac:dyDescent="0.25">
      <c r="A72" t="s">
        <v>13</v>
      </c>
      <c r="B72" s="1">
        <v>45171</v>
      </c>
      <c r="C72" s="2">
        <v>252.97</v>
      </c>
      <c r="D72">
        <v>-0.1</v>
      </c>
      <c r="E72" t="s">
        <v>8</v>
      </c>
      <c r="F72" s="3">
        <v>248.91659999999999</v>
      </c>
      <c r="G72" s="12" t="s">
        <v>10</v>
      </c>
    </row>
    <row r="73" spans="1:7" x14ac:dyDescent="0.25">
      <c r="A73" t="s">
        <v>13</v>
      </c>
      <c r="B73" s="1">
        <v>45171</v>
      </c>
      <c r="C73" s="2">
        <v>252.97</v>
      </c>
      <c r="D73">
        <v>-0.05</v>
      </c>
      <c r="E73" t="s">
        <v>8</v>
      </c>
      <c r="F73" s="3">
        <v>245.8143</v>
      </c>
      <c r="G73" s="3" t="s">
        <v>9</v>
      </c>
    </row>
    <row r="74" spans="1:7" x14ac:dyDescent="0.25">
      <c r="B74" s="1"/>
      <c r="C74" s="1"/>
    </row>
    <row r="75" spans="1:7" x14ac:dyDescent="0.25">
      <c r="B75" s="1"/>
      <c r="C75" s="1"/>
    </row>
    <row r="76" spans="1:7" x14ac:dyDescent="0.25">
      <c r="B76" s="1"/>
      <c r="C76" s="1"/>
    </row>
    <row r="77" spans="1:7" x14ac:dyDescent="0.25">
      <c r="B77" s="1"/>
      <c r="C77" s="1"/>
    </row>
    <row r="78" spans="1:7" x14ac:dyDescent="0.25">
      <c r="B78" s="1"/>
      <c r="C78" s="1"/>
    </row>
    <row r="79" spans="1:7" x14ac:dyDescent="0.25">
      <c r="B79" s="1"/>
      <c r="C79" s="1"/>
    </row>
    <row r="80" spans="1:7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</sheetData>
  <autoFilter ref="A1:G73" xr:uid="{D0E0F31D-96B4-4594-85E2-F1090F2A881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8A16-C15D-409B-8EF3-8FD21A153FAC}">
  <dimension ref="A1:F10"/>
  <sheetViews>
    <sheetView workbookViewId="0">
      <selection activeCell="E3" sqref="E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0.2</v>
      </c>
      <c r="E2" s="3">
        <v>168.102</v>
      </c>
      <c r="F2" s="4">
        <f>(C2-E2)/C2</f>
        <v>2.4647519582245377E-2</v>
      </c>
    </row>
    <row r="3" spans="1:6" x14ac:dyDescent="0.25">
      <c r="A3" t="s">
        <v>7</v>
      </c>
      <c r="B3" s="1">
        <v>45172</v>
      </c>
      <c r="C3" s="2">
        <v>333.02</v>
      </c>
      <c r="D3">
        <v>0.2</v>
      </c>
      <c r="E3" s="3">
        <v>312.14699999999999</v>
      </c>
      <c r="F3" s="4">
        <f t="shared" ref="F3:F10" si="0">(C3-E3)/C3</f>
        <v>6.2677917242207656E-2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0.2</v>
      </c>
      <c r="E4" s="3">
        <v>0</v>
      </c>
      <c r="F4" s="4">
        <f t="shared" si="0"/>
        <v>1</v>
      </c>
    </row>
    <row r="5" spans="1:6" x14ac:dyDescent="0.25">
      <c r="A5" t="s">
        <v>11</v>
      </c>
      <c r="B5" s="1">
        <v>45645</v>
      </c>
      <c r="C5" s="2">
        <v>21.53</v>
      </c>
      <c r="D5">
        <v>0.2</v>
      </c>
      <c r="E5" s="3">
        <v>13.508100000000001</v>
      </c>
      <c r="F5" s="4">
        <f t="shared" si="0"/>
        <v>0.37259173246632604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0.2</v>
      </c>
      <c r="E6" s="3">
        <v>37.959299999999999</v>
      </c>
      <c r="F6" s="4">
        <f t="shared" si="0"/>
        <v>0.70427469616703031</v>
      </c>
    </row>
    <row r="7" spans="1:6" x14ac:dyDescent="0.25">
      <c r="A7" t="s">
        <v>12</v>
      </c>
      <c r="B7" s="1">
        <v>45440</v>
      </c>
      <c r="C7" s="2">
        <v>218.59</v>
      </c>
      <c r="D7">
        <v>0.2</v>
      </c>
      <c r="E7" s="3">
        <v>203.82839999999999</v>
      </c>
      <c r="F7" s="4">
        <f t="shared" si="0"/>
        <v>6.7530994098540714E-2</v>
      </c>
    </row>
    <row r="8" spans="1:6" x14ac:dyDescent="0.25">
      <c r="A8" t="s">
        <v>12</v>
      </c>
      <c r="B8" s="1">
        <v>44589</v>
      </c>
      <c r="C8" s="2">
        <v>627.15</v>
      </c>
      <c r="D8">
        <v>0.2</v>
      </c>
      <c r="E8" s="3">
        <v>583.45320000000004</v>
      </c>
      <c r="F8" s="4">
        <f t="shared" si="0"/>
        <v>6.9675197321214924E-2</v>
      </c>
    </row>
    <row r="9" spans="1:6" x14ac:dyDescent="0.25">
      <c r="A9" t="s">
        <v>13</v>
      </c>
      <c r="B9" s="1">
        <v>45659</v>
      </c>
      <c r="C9" s="2">
        <v>113.27</v>
      </c>
      <c r="D9">
        <v>0.2</v>
      </c>
      <c r="E9" s="3">
        <v>0</v>
      </c>
      <c r="F9" s="4">
        <f t="shared" si="0"/>
        <v>1</v>
      </c>
    </row>
    <row r="10" spans="1:6" x14ac:dyDescent="0.25">
      <c r="A10" t="s">
        <v>13</v>
      </c>
      <c r="B10" s="1">
        <v>45171</v>
      </c>
      <c r="C10" s="2">
        <v>252.97</v>
      </c>
      <c r="D10">
        <v>0.2</v>
      </c>
      <c r="E10" s="3">
        <v>235.7379</v>
      </c>
      <c r="F10" s="4">
        <f t="shared" si="0"/>
        <v>6.8119144562596365E-2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95CF-A8EA-4877-B9B2-BD7E6227AB8B}">
  <dimension ref="A1:F10"/>
  <sheetViews>
    <sheetView workbookViewId="0">
      <selection activeCell="E3" sqref="E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0.15</v>
      </c>
      <c r="E2" s="3">
        <v>169.30799999999999</v>
      </c>
      <c r="F2" s="4">
        <f>(C2-E2)/C2</f>
        <v>1.7650130548302882E-2</v>
      </c>
    </row>
    <row r="3" spans="1:6" x14ac:dyDescent="0.25">
      <c r="A3" t="s">
        <v>7</v>
      </c>
      <c r="B3" s="1">
        <v>45172</v>
      </c>
      <c r="C3" s="2">
        <v>333.02</v>
      </c>
      <c r="D3">
        <v>0.15</v>
      </c>
      <c r="E3" s="3">
        <v>313.97219999999999</v>
      </c>
      <c r="F3" s="4">
        <f t="shared" ref="F3:F10" si="0">(C3-E3)/C3</f>
        <v>5.719716533541528E-2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0.15</v>
      </c>
      <c r="E4" s="3">
        <v>0</v>
      </c>
      <c r="F4" s="4">
        <f t="shared" si="0"/>
        <v>1</v>
      </c>
    </row>
    <row r="5" spans="1:6" x14ac:dyDescent="0.25">
      <c r="A5" t="s">
        <v>11</v>
      </c>
      <c r="B5" s="1">
        <v>45645</v>
      </c>
      <c r="C5" s="2">
        <v>21.53</v>
      </c>
      <c r="D5">
        <v>0.15</v>
      </c>
      <c r="E5" s="3">
        <v>17.271899999999999</v>
      </c>
      <c r="F5" s="4">
        <f t="shared" si="0"/>
        <v>0.19777519739897828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0.15</v>
      </c>
      <c r="E6" s="3">
        <v>63.579599999999999</v>
      </c>
      <c r="F6" s="4">
        <f t="shared" si="0"/>
        <v>0.50467746961670312</v>
      </c>
    </row>
    <row r="7" spans="1:6" x14ac:dyDescent="0.25">
      <c r="A7" t="s">
        <v>12</v>
      </c>
      <c r="B7" s="1">
        <v>45440</v>
      </c>
      <c r="C7" s="2">
        <v>218.59</v>
      </c>
      <c r="D7">
        <v>0.15</v>
      </c>
      <c r="E7" s="3">
        <v>206.1369</v>
      </c>
      <c r="F7" s="4">
        <f t="shared" si="0"/>
        <v>5.6970126721259007E-2</v>
      </c>
    </row>
    <row r="8" spans="1:6" x14ac:dyDescent="0.25">
      <c r="A8" t="s">
        <v>12</v>
      </c>
      <c r="B8" s="1">
        <v>44589</v>
      </c>
      <c r="C8" s="2">
        <v>627.15</v>
      </c>
      <c r="D8">
        <v>0.15</v>
      </c>
      <c r="E8" s="3">
        <v>589.96047999999996</v>
      </c>
      <c r="F8" s="4">
        <f t="shared" si="0"/>
        <v>5.929924260543732E-2</v>
      </c>
    </row>
    <row r="9" spans="1:6" x14ac:dyDescent="0.25">
      <c r="A9" t="s">
        <v>13</v>
      </c>
      <c r="B9" s="1">
        <v>45659</v>
      </c>
      <c r="C9" s="2">
        <v>113.27</v>
      </c>
      <c r="D9">
        <v>0.15</v>
      </c>
      <c r="E9" s="3">
        <v>0</v>
      </c>
      <c r="F9" s="4">
        <f t="shared" si="0"/>
        <v>1</v>
      </c>
    </row>
    <row r="10" spans="1:6" x14ac:dyDescent="0.25">
      <c r="A10" t="s">
        <v>13</v>
      </c>
      <c r="B10" s="1">
        <v>45171</v>
      </c>
      <c r="C10" s="2">
        <v>252.97</v>
      </c>
      <c r="D10">
        <v>0.15</v>
      </c>
      <c r="E10" s="3">
        <v>237.80609999999999</v>
      </c>
      <c r="F10" s="4">
        <f t="shared" si="0"/>
        <v>5.9943471557892286E-2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D4D0-2992-4BD8-BF79-D9E726D48221}">
  <dimension ref="A1:F10"/>
  <sheetViews>
    <sheetView workbookViewId="0">
      <selection activeCell="E3" sqref="E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0.1</v>
      </c>
      <c r="E2" s="3">
        <v>170.41409999999999</v>
      </c>
      <c r="F2" s="4">
        <f>(C2-E2)/C2</f>
        <v>1.1232375979112294E-2</v>
      </c>
    </row>
    <row r="3" spans="1:6" x14ac:dyDescent="0.25">
      <c r="A3" t="s">
        <v>7</v>
      </c>
      <c r="B3" s="1">
        <v>45172</v>
      </c>
      <c r="C3" s="2">
        <v>333.02</v>
      </c>
      <c r="D3">
        <v>0.1</v>
      </c>
      <c r="E3" s="3">
        <v>315.72719999999998</v>
      </c>
      <c r="F3" s="4">
        <f t="shared" ref="F3:F10" si="0">(C3-E3)/C3</f>
        <v>5.192721157888415E-2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0.1</v>
      </c>
      <c r="E4" s="3">
        <v>0</v>
      </c>
      <c r="F4" s="4">
        <f t="shared" si="0"/>
        <v>1</v>
      </c>
    </row>
    <row r="5" spans="1:6" x14ac:dyDescent="0.25">
      <c r="A5" t="s">
        <v>11</v>
      </c>
      <c r="B5" s="1">
        <v>45645</v>
      </c>
      <c r="C5" s="2">
        <v>21.53</v>
      </c>
      <c r="D5">
        <v>0.1</v>
      </c>
      <c r="E5" s="3">
        <v>18.9603</v>
      </c>
      <c r="F5" s="4">
        <f t="shared" si="0"/>
        <v>0.11935438922433818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0.1</v>
      </c>
      <c r="E6" s="3">
        <v>76.250699999999995</v>
      </c>
      <c r="F6" s="4">
        <f t="shared" si="0"/>
        <v>0.40596213773761308</v>
      </c>
    </row>
    <row r="7" spans="1:6" x14ac:dyDescent="0.25">
      <c r="A7" t="s">
        <v>12</v>
      </c>
      <c r="B7" s="1">
        <v>45440</v>
      </c>
      <c r="C7" s="2">
        <v>218.59</v>
      </c>
      <c r="D7">
        <v>0.1</v>
      </c>
      <c r="E7" s="3">
        <v>207.87209999999999</v>
      </c>
      <c r="F7" s="4">
        <f t="shared" si="0"/>
        <v>4.9031977675099564E-2</v>
      </c>
    </row>
    <row r="8" spans="1:6" x14ac:dyDescent="0.25">
      <c r="A8" t="s">
        <v>12</v>
      </c>
      <c r="B8" s="1">
        <v>44589</v>
      </c>
      <c r="C8" s="2">
        <v>627.15</v>
      </c>
      <c r="D8">
        <v>0.1</v>
      </c>
      <c r="E8" s="3">
        <v>594.79250000000002</v>
      </c>
      <c r="F8" s="4">
        <f t="shared" si="0"/>
        <v>5.1594514868851089E-2</v>
      </c>
    </row>
    <row r="9" spans="1:6" x14ac:dyDescent="0.25">
      <c r="A9" t="s">
        <v>13</v>
      </c>
      <c r="B9" s="1">
        <v>45659</v>
      </c>
      <c r="C9" s="2">
        <v>113.27</v>
      </c>
      <c r="D9">
        <v>0.1</v>
      </c>
      <c r="E9" s="3">
        <v>6.3E-3</v>
      </c>
      <c r="F9" s="4">
        <f t="shared" si="0"/>
        <v>0.99994438068332303</v>
      </c>
    </row>
    <row r="10" spans="1:6" x14ac:dyDescent="0.25">
      <c r="A10" t="s">
        <v>13</v>
      </c>
      <c r="B10" s="1">
        <v>45171</v>
      </c>
      <c r="C10" s="2">
        <v>252.97</v>
      </c>
      <c r="D10">
        <v>0.1</v>
      </c>
      <c r="E10" s="3">
        <v>239.7834</v>
      </c>
      <c r="F10" s="4">
        <f t="shared" si="0"/>
        <v>5.212712969917381E-2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F68F-9B01-4F92-A333-E83D7842F7FC}">
  <dimension ref="A1:F10"/>
  <sheetViews>
    <sheetView workbookViewId="0">
      <selection activeCell="E3" sqref="E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0.05</v>
      </c>
      <c r="E2" s="3">
        <v>171.37260000000001</v>
      </c>
      <c r="F2" s="4">
        <f>(C2-E2)/C2</f>
        <v>5.6710182767623369E-3</v>
      </c>
    </row>
    <row r="3" spans="1:6" x14ac:dyDescent="0.25">
      <c r="A3" t="s">
        <v>7</v>
      </c>
      <c r="B3" s="1">
        <v>45172</v>
      </c>
      <c r="C3" s="2">
        <v>333.02</v>
      </c>
      <c r="D3">
        <v>0.05</v>
      </c>
      <c r="E3" s="3">
        <v>317.40660000000003</v>
      </c>
      <c r="F3" s="4">
        <f t="shared" ref="F3:F10" si="0">(C3-E3)/C3</f>
        <v>4.6884271214941917E-2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0.05</v>
      </c>
      <c r="E4" s="3">
        <v>0</v>
      </c>
      <c r="F4" s="4">
        <f t="shared" si="0"/>
        <v>1</v>
      </c>
    </row>
    <row r="5" spans="1:6" x14ac:dyDescent="0.25">
      <c r="A5" t="s">
        <v>11</v>
      </c>
      <c r="B5" s="1">
        <v>45645</v>
      </c>
      <c r="C5" s="2">
        <v>21.53</v>
      </c>
      <c r="D5">
        <v>0.05</v>
      </c>
      <c r="E5" s="3">
        <v>20.127600000000001</v>
      </c>
      <c r="F5" s="4">
        <f t="shared" si="0"/>
        <v>6.5137018114259176E-2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0.05</v>
      </c>
      <c r="E6" s="3">
        <v>82.558800000000005</v>
      </c>
      <c r="F6" s="4">
        <f t="shared" si="0"/>
        <v>0.35681832346525399</v>
      </c>
    </row>
    <row r="7" spans="1:6" x14ac:dyDescent="0.25">
      <c r="A7" t="s">
        <v>12</v>
      </c>
      <c r="B7" s="1">
        <v>45440</v>
      </c>
      <c r="C7" s="2">
        <v>218.59</v>
      </c>
      <c r="D7">
        <v>0.05</v>
      </c>
      <c r="E7" s="3">
        <v>209.36429999999999</v>
      </c>
      <c r="F7" s="4">
        <f t="shared" si="0"/>
        <v>4.2205498879180278E-2</v>
      </c>
    </row>
    <row r="8" spans="1:6" x14ac:dyDescent="0.25">
      <c r="A8" t="s">
        <v>12</v>
      </c>
      <c r="B8" s="1">
        <v>44589</v>
      </c>
      <c r="C8" s="2">
        <v>627.15</v>
      </c>
      <c r="D8">
        <v>0.05</v>
      </c>
      <c r="E8" s="3">
        <v>598.87400000000002</v>
      </c>
      <c r="F8" s="4">
        <f t="shared" si="0"/>
        <v>4.5086502431635103E-2</v>
      </c>
    </row>
    <row r="9" spans="1:6" x14ac:dyDescent="0.25">
      <c r="A9" t="s">
        <v>13</v>
      </c>
      <c r="B9" s="1">
        <v>45659</v>
      </c>
      <c r="C9" s="2">
        <v>113.27</v>
      </c>
      <c r="D9">
        <v>0.05</v>
      </c>
      <c r="E9" s="3">
        <v>2.2589999999999999</v>
      </c>
      <c r="F9" s="4">
        <f t="shared" si="0"/>
        <v>0.98005650216297346</v>
      </c>
    </row>
    <row r="10" spans="1:6" x14ac:dyDescent="0.25">
      <c r="A10" t="s">
        <v>13</v>
      </c>
      <c r="B10" s="1">
        <v>45171</v>
      </c>
      <c r="C10" s="2">
        <v>252.97</v>
      </c>
      <c r="D10">
        <v>0.05</v>
      </c>
      <c r="E10" s="3">
        <v>241.6464</v>
      </c>
      <c r="F10" s="4">
        <f t="shared" si="0"/>
        <v>4.47626200735265E-2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742B-B551-47A8-B1B4-FA593FB6960C}">
  <dimension ref="A1:F10"/>
  <sheetViews>
    <sheetView workbookViewId="0">
      <selection activeCell="B2" sqref="B2:B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6">
        <v>45653</v>
      </c>
      <c r="C2" s="2">
        <v>172.35</v>
      </c>
      <c r="D2">
        <v>0</v>
      </c>
      <c r="E2" s="3">
        <v>172.5264</v>
      </c>
      <c r="F2" s="4">
        <f>(C2-E2)/C2</f>
        <v>-1.0234986945169772E-3</v>
      </c>
    </row>
    <row r="3" spans="1:6" x14ac:dyDescent="0.25">
      <c r="A3" t="s">
        <v>7</v>
      </c>
      <c r="B3" s="6">
        <v>45172</v>
      </c>
      <c r="C3" s="2">
        <v>333.02</v>
      </c>
      <c r="D3">
        <v>0</v>
      </c>
      <c r="E3" s="3">
        <v>319.03739999999999</v>
      </c>
      <c r="F3" s="4">
        <f t="shared" ref="F3:F10" si="0">(C3-E3)/C3</f>
        <v>4.1987268031950006E-2</v>
      </c>
    </row>
    <row r="4" spans="1:6" x14ac:dyDescent="0.25">
      <c r="A4" t="s">
        <v>11</v>
      </c>
      <c r="B4" s="6">
        <v>45286</v>
      </c>
      <c r="C4" s="2">
        <v>68.989999999999995</v>
      </c>
      <c r="D4">
        <v>0</v>
      </c>
      <c r="E4" s="3">
        <v>2.1600000000000001E-2</v>
      </c>
      <c r="F4" s="4">
        <f t="shared" si="0"/>
        <v>0.99968691114654284</v>
      </c>
    </row>
    <row r="5" spans="1:6" x14ac:dyDescent="0.25">
      <c r="A5" t="s">
        <v>11</v>
      </c>
      <c r="B5" s="6">
        <v>45645</v>
      </c>
      <c r="C5" s="2">
        <v>21.53</v>
      </c>
      <c r="D5">
        <v>0</v>
      </c>
      <c r="E5" s="3">
        <v>21.015899999999998</v>
      </c>
      <c r="F5" s="4">
        <f t="shared" si="0"/>
        <v>2.3878309335810619E-2</v>
      </c>
    </row>
    <row r="6" spans="1:6" x14ac:dyDescent="0.25">
      <c r="A6" t="s">
        <v>11</v>
      </c>
      <c r="B6" s="6">
        <v>44703</v>
      </c>
      <c r="C6" s="2">
        <v>128.36000000000001</v>
      </c>
      <c r="D6">
        <v>0</v>
      </c>
      <c r="E6" s="3">
        <v>86.712299999999999</v>
      </c>
      <c r="F6" s="4">
        <f t="shared" si="0"/>
        <v>0.32446011218448123</v>
      </c>
    </row>
    <row r="7" spans="1:6" x14ac:dyDescent="0.25">
      <c r="A7" t="s">
        <v>12</v>
      </c>
      <c r="B7" s="6">
        <v>45440</v>
      </c>
      <c r="C7" s="2">
        <v>218.59</v>
      </c>
      <c r="D7">
        <v>0</v>
      </c>
      <c r="E7" s="3">
        <v>210.7611</v>
      </c>
      <c r="F7" s="4">
        <f t="shared" si="0"/>
        <v>3.5815453588910764E-2</v>
      </c>
    </row>
    <row r="8" spans="1:6" x14ac:dyDescent="0.25">
      <c r="A8" t="s">
        <v>12</v>
      </c>
      <c r="B8" s="6">
        <v>44589</v>
      </c>
      <c r="C8" s="2">
        <v>627.15</v>
      </c>
      <c r="D8">
        <v>0</v>
      </c>
      <c r="E8" s="3">
        <v>602.23220000000003</v>
      </c>
      <c r="F8" s="4">
        <f t="shared" si="0"/>
        <v>3.9731802599059146E-2</v>
      </c>
    </row>
    <row r="9" spans="1:6" x14ac:dyDescent="0.25">
      <c r="A9" t="s">
        <v>13</v>
      </c>
      <c r="B9" s="6">
        <v>45659</v>
      </c>
      <c r="C9" s="2">
        <v>113.27</v>
      </c>
      <c r="D9">
        <v>0</v>
      </c>
      <c r="E9" s="3">
        <v>9.4662000000000006</v>
      </c>
      <c r="F9" s="4">
        <f t="shared" si="0"/>
        <v>0.91642800388452372</v>
      </c>
    </row>
    <row r="10" spans="1:6" x14ac:dyDescent="0.25">
      <c r="A10" t="s">
        <v>13</v>
      </c>
      <c r="B10" s="6">
        <v>45171</v>
      </c>
      <c r="C10" s="2">
        <v>252.97</v>
      </c>
      <c r="D10">
        <v>0</v>
      </c>
      <c r="E10" s="3">
        <v>243.5256</v>
      </c>
      <c r="F10" s="4">
        <f t="shared" si="0"/>
        <v>3.7334071233743139E-2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D7AF-327C-4FB7-AC16-DC7F52A08EE4}">
  <dimension ref="A1:F10"/>
  <sheetViews>
    <sheetView workbookViewId="0">
      <selection activeCell="E25" sqref="E2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-0.05</v>
      </c>
      <c r="E2" s="3">
        <v>174.1446</v>
      </c>
      <c r="F2" s="4">
        <f>(C2-E2)/C2</f>
        <v>-1.0412532637075733E-2</v>
      </c>
    </row>
    <row r="3" spans="1:6" x14ac:dyDescent="0.25">
      <c r="A3" t="s">
        <v>7</v>
      </c>
      <c r="B3" s="1">
        <v>45172</v>
      </c>
      <c r="C3" s="2">
        <v>333.02</v>
      </c>
      <c r="D3">
        <v>-0.05</v>
      </c>
      <c r="E3" s="3">
        <v>320.71140000000003</v>
      </c>
      <c r="F3" s="4">
        <f t="shared" ref="F3:F10" si="0">(C3-E3)/C3</f>
        <v>3.6960542910335584E-2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-0.05</v>
      </c>
      <c r="E4" s="3">
        <v>9.6884999999999994</v>
      </c>
      <c r="F4" s="4">
        <f t="shared" si="0"/>
        <v>0.85956660385563133</v>
      </c>
    </row>
    <row r="5" spans="1:6" x14ac:dyDescent="0.25">
      <c r="A5" t="s">
        <v>11</v>
      </c>
      <c r="B5" s="1">
        <v>45645</v>
      </c>
      <c r="C5" s="2">
        <v>21.53</v>
      </c>
      <c r="D5">
        <v>-0.05</v>
      </c>
      <c r="E5" s="3">
        <v>21.771000000000001</v>
      </c>
      <c r="F5" s="4">
        <f t="shared" si="0"/>
        <v>-1.1193683232698544E-2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-0.05</v>
      </c>
      <c r="E6" s="3">
        <v>89.764200000000002</v>
      </c>
      <c r="F6" s="4">
        <f t="shared" si="0"/>
        <v>0.30068401371143666</v>
      </c>
    </row>
    <row r="7" spans="1:6" x14ac:dyDescent="0.25">
      <c r="A7" t="s">
        <v>12</v>
      </c>
      <c r="B7" s="1">
        <v>45440</v>
      </c>
      <c r="C7" s="2">
        <v>218.59</v>
      </c>
      <c r="D7">
        <v>-0.05</v>
      </c>
      <c r="E7" s="3">
        <v>212.22540000000001</v>
      </c>
      <c r="F7" s="4">
        <f t="shared" si="0"/>
        <v>2.9116611006907892E-2</v>
      </c>
    </row>
    <row r="8" spans="1:6" x14ac:dyDescent="0.25">
      <c r="A8" t="s">
        <v>12</v>
      </c>
      <c r="B8" s="1">
        <v>44589</v>
      </c>
      <c r="C8" s="2">
        <v>627.15</v>
      </c>
      <c r="D8">
        <v>-0.05</v>
      </c>
      <c r="E8" s="3">
        <v>605.32759999999996</v>
      </c>
      <c r="F8" s="4">
        <f t="shared" si="0"/>
        <v>3.4796141274017409E-2</v>
      </c>
    </row>
    <row r="9" spans="1:6" x14ac:dyDescent="0.25">
      <c r="A9" t="s">
        <v>13</v>
      </c>
      <c r="B9" s="1">
        <v>45659</v>
      </c>
      <c r="C9" s="2">
        <v>113.27</v>
      </c>
      <c r="D9">
        <v>-0.05</v>
      </c>
      <c r="E9" s="3">
        <v>66.809700000000007</v>
      </c>
      <c r="F9" s="4">
        <f t="shared" si="0"/>
        <v>0.41017303787410603</v>
      </c>
    </row>
    <row r="10" spans="1:6" x14ac:dyDescent="0.25">
      <c r="A10" t="s">
        <v>13</v>
      </c>
      <c r="B10" s="1">
        <v>45171</v>
      </c>
      <c r="C10" s="2">
        <v>252.97</v>
      </c>
      <c r="D10">
        <v>-0.05</v>
      </c>
      <c r="E10" s="3">
        <v>245.8143</v>
      </c>
      <c r="F10" s="4">
        <f t="shared" si="0"/>
        <v>2.8286753369964803E-2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5C17-F940-4294-BEAA-6FD24025C0E2}">
  <dimension ref="A1:F10"/>
  <sheetViews>
    <sheetView workbookViewId="0">
      <selection activeCell="Y4" sqref="Y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-0.1</v>
      </c>
      <c r="E2" s="3">
        <v>177.00839999999999</v>
      </c>
      <c r="F2" s="4">
        <f>(C2-E2)/C2</f>
        <v>-2.7028720626631857E-2</v>
      </c>
    </row>
    <row r="3" spans="1:6" x14ac:dyDescent="0.25">
      <c r="A3" t="s">
        <v>7</v>
      </c>
      <c r="B3" s="1">
        <v>45172</v>
      </c>
      <c r="C3" s="2">
        <v>333.02</v>
      </c>
      <c r="D3">
        <v>-0.1</v>
      </c>
      <c r="E3" s="3">
        <v>322.50060000000002</v>
      </c>
      <c r="F3" s="4">
        <f t="shared" ref="F3:F10" si="0">(C3-E3)/C3</f>
        <v>3.1587892619061808E-2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-0.1</v>
      </c>
      <c r="E4" s="3">
        <v>51.063299999999998</v>
      </c>
      <c r="F4" s="4">
        <f t="shared" si="0"/>
        <v>0.25984490505870411</v>
      </c>
    </row>
    <row r="5" spans="1:6" x14ac:dyDescent="0.25">
      <c r="A5" t="s">
        <v>11</v>
      </c>
      <c r="B5" s="1">
        <v>45645</v>
      </c>
      <c r="C5" s="2">
        <v>21.53</v>
      </c>
      <c r="D5">
        <v>-0.1</v>
      </c>
      <c r="E5" s="3">
        <v>22.502199999999998</v>
      </c>
      <c r="F5" s="4">
        <f t="shared" si="0"/>
        <v>-4.515559684161622E-2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-0.1</v>
      </c>
      <c r="E6" s="3">
        <v>92.558999999999997</v>
      </c>
      <c r="F6" s="4">
        <f t="shared" si="0"/>
        <v>0.27891087566220019</v>
      </c>
    </row>
    <row r="7" spans="1:6" x14ac:dyDescent="0.25">
      <c r="A7" t="s">
        <v>12</v>
      </c>
      <c r="B7" s="1">
        <v>45440</v>
      </c>
      <c r="C7" s="2">
        <v>218.59</v>
      </c>
      <c r="D7">
        <v>-0.1</v>
      </c>
      <c r="E7" s="3">
        <v>213.93539999999999</v>
      </c>
      <c r="F7" s="4">
        <f t="shared" si="0"/>
        <v>2.1293746282995636E-2</v>
      </c>
    </row>
    <row r="8" spans="1:6" x14ac:dyDescent="0.25">
      <c r="A8" t="s">
        <v>12</v>
      </c>
      <c r="B8" s="1">
        <v>44589</v>
      </c>
      <c r="C8" s="2">
        <v>627.15</v>
      </c>
      <c r="D8">
        <v>-0.1</v>
      </c>
      <c r="E8" s="3">
        <v>608.17999999999995</v>
      </c>
      <c r="F8" s="4">
        <f t="shared" si="0"/>
        <v>3.0247947062106397E-2</v>
      </c>
    </row>
    <row r="9" spans="1:6" x14ac:dyDescent="0.25">
      <c r="A9" t="s">
        <v>13</v>
      </c>
      <c r="B9" s="1">
        <v>45659</v>
      </c>
      <c r="C9" s="2">
        <v>113.27</v>
      </c>
      <c r="D9">
        <v>-0.1</v>
      </c>
      <c r="E9" s="3">
        <v>97.149600000000007</v>
      </c>
      <c r="F9" s="4">
        <f t="shared" si="0"/>
        <v>0.1423183543745033</v>
      </c>
    </row>
    <row r="10" spans="1:6" x14ac:dyDescent="0.25">
      <c r="A10" t="s">
        <v>13</v>
      </c>
      <c r="B10" s="1">
        <v>45171</v>
      </c>
      <c r="C10" s="2">
        <v>252.97</v>
      </c>
      <c r="D10">
        <v>-0.1</v>
      </c>
      <c r="E10" s="3">
        <v>248.91659999999999</v>
      </c>
      <c r="F10" s="4">
        <f t="shared" si="0"/>
        <v>1.6023243862908688E-2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6B83-636D-46FD-B059-1DD652ABCF08}">
  <dimension ref="A1:F10"/>
  <sheetViews>
    <sheetView workbookViewId="0">
      <selection activeCell="E12" sqref="E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-0.15</v>
      </c>
      <c r="E2" s="3">
        <v>181.90799999999999</v>
      </c>
      <c r="F2" s="4">
        <f>(C2-E2)/C2</f>
        <v>-5.5456919060052179E-2</v>
      </c>
    </row>
    <row r="3" spans="1:6" x14ac:dyDescent="0.25">
      <c r="A3" t="s">
        <v>7</v>
      </c>
      <c r="B3" s="1">
        <v>45172</v>
      </c>
      <c r="C3" s="2">
        <v>333.02</v>
      </c>
      <c r="D3">
        <v>-0.15</v>
      </c>
      <c r="E3" s="3">
        <v>324.69929999999999</v>
      </c>
      <c r="F3" s="4">
        <f t="shared" ref="F3:F10" si="0">(C3-E3)/C3</f>
        <v>2.4985586451264155E-2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-0.15</v>
      </c>
      <c r="E4" s="3">
        <v>59.635800000000003</v>
      </c>
      <c r="F4" s="4">
        <f t="shared" si="0"/>
        <v>0.13558776634294814</v>
      </c>
    </row>
    <row r="5" spans="1:6" x14ac:dyDescent="0.25">
      <c r="A5" t="s">
        <v>11</v>
      </c>
      <c r="B5" s="1">
        <v>45645</v>
      </c>
      <c r="C5" s="2">
        <v>21.53</v>
      </c>
      <c r="D5">
        <v>-0.15</v>
      </c>
      <c r="E5" s="3">
        <v>23.405000000000001</v>
      </c>
      <c r="F5" s="4">
        <f t="shared" si="0"/>
        <v>-8.7087784486762645E-2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-0.15</v>
      </c>
      <c r="E6" s="3">
        <v>95.039500000000004</v>
      </c>
      <c r="F6" s="4">
        <f t="shared" si="0"/>
        <v>0.25958631972577134</v>
      </c>
    </row>
    <row r="7" spans="1:6" x14ac:dyDescent="0.25">
      <c r="A7" t="s">
        <v>12</v>
      </c>
      <c r="B7" s="1">
        <v>45440</v>
      </c>
      <c r="C7" s="2">
        <v>218.59</v>
      </c>
      <c r="D7">
        <v>-0.15</v>
      </c>
      <c r="E7" s="3">
        <v>217.57769999999999</v>
      </c>
      <c r="F7" s="4">
        <f t="shared" si="0"/>
        <v>4.63104442106231E-3</v>
      </c>
    </row>
    <row r="8" spans="1:6" x14ac:dyDescent="0.25">
      <c r="A8" t="s">
        <v>12</v>
      </c>
      <c r="B8" s="1">
        <v>44589</v>
      </c>
      <c r="C8" s="2">
        <v>627.15</v>
      </c>
      <c r="D8">
        <v>-0.15</v>
      </c>
      <c r="E8" s="3">
        <v>610.96600000000001</v>
      </c>
      <c r="F8" s="4">
        <f t="shared" si="0"/>
        <v>2.5805628637486998E-2</v>
      </c>
    </row>
    <row r="9" spans="1:6" x14ac:dyDescent="0.25">
      <c r="A9" t="s">
        <v>13</v>
      </c>
      <c r="B9" s="1">
        <v>45659</v>
      </c>
      <c r="C9" s="2">
        <v>113.27</v>
      </c>
      <c r="D9">
        <v>-0.15</v>
      </c>
      <c r="E9" s="3">
        <v>102.7773</v>
      </c>
      <c r="F9" s="4">
        <f t="shared" si="0"/>
        <v>9.2634413348635994E-2</v>
      </c>
    </row>
    <row r="10" spans="1:6" x14ac:dyDescent="0.25">
      <c r="A10" t="s">
        <v>13</v>
      </c>
      <c r="B10" s="1">
        <v>45171</v>
      </c>
      <c r="C10" s="2">
        <v>252.97</v>
      </c>
      <c r="D10">
        <v>-0.15</v>
      </c>
      <c r="E10" s="3">
        <v>254.74590000000001</v>
      </c>
      <c r="F10" s="4">
        <f t="shared" si="0"/>
        <v>-7.0202000237182555E-3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AE46-D3A0-410B-93A8-6430625A80E4}">
  <dimension ref="A1:F10"/>
  <sheetViews>
    <sheetView workbookViewId="0">
      <selection activeCell="F2" sqref="F2:F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-0.2</v>
      </c>
      <c r="E2" s="3">
        <v>190.1943</v>
      </c>
      <c r="F2" s="4">
        <f>(C2-E2)/C2</f>
        <v>-0.10353524804177548</v>
      </c>
    </row>
    <row r="3" spans="1:6" x14ac:dyDescent="0.25">
      <c r="A3" t="s">
        <v>7</v>
      </c>
      <c r="B3" s="1">
        <v>45172</v>
      </c>
      <c r="C3" s="2">
        <v>333.02</v>
      </c>
      <c r="D3">
        <v>-0.2</v>
      </c>
      <c r="E3" s="3">
        <v>329.84190000000001</v>
      </c>
      <c r="F3" s="4">
        <f t="shared" ref="F3:F10" si="0">(C3-E3)/C3</f>
        <v>9.543270674433885E-3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-0.2</v>
      </c>
      <c r="E4" s="3">
        <v>63.405000000000001</v>
      </c>
      <c r="F4" s="4">
        <f t="shared" si="0"/>
        <v>8.0953761414697692E-2</v>
      </c>
    </row>
    <row r="5" spans="1:6" x14ac:dyDescent="0.25">
      <c r="A5" t="s">
        <v>11</v>
      </c>
      <c r="B5" s="1">
        <v>45645</v>
      </c>
      <c r="C5" s="2">
        <v>21.53</v>
      </c>
      <c r="D5">
        <v>-0.2</v>
      </c>
      <c r="E5" s="3">
        <v>24.567799999999998</v>
      </c>
      <c r="F5" s="4">
        <f t="shared" si="0"/>
        <v>-0.14109614491407324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-0.2</v>
      </c>
      <c r="E6" s="3">
        <v>97.395899999999997</v>
      </c>
      <c r="F6" s="4">
        <f t="shared" si="0"/>
        <v>0.24122857588033667</v>
      </c>
    </row>
    <row r="7" spans="1:6" x14ac:dyDescent="0.25">
      <c r="A7" t="s">
        <v>12</v>
      </c>
      <c r="B7" s="1">
        <v>45440</v>
      </c>
      <c r="C7" s="2">
        <v>218.59</v>
      </c>
      <c r="D7">
        <v>-0.2</v>
      </c>
      <c r="E7" s="3">
        <v>264.84399999999999</v>
      </c>
      <c r="F7" s="4">
        <f t="shared" si="0"/>
        <v>-0.21160162861979043</v>
      </c>
    </row>
    <row r="8" spans="1:6" x14ac:dyDescent="0.25">
      <c r="A8" t="s">
        <v>12</v>
      </c>
      <c r="B8" s="1">
        <v>44589</v>
      </c>
      <c r="C8" s="2">
        <v>627.15</v>
      </c>
      <c r="D8">
        <v>-0.2</v>
      </c>
      <c r="E8" s="3">
        <v>613.5163</v>
      </c>
      <c r="F8" s="4">
        <f t="shared" si="0"/>
        <v>2.1739137367455915E-2</v>
      </c>
    </row>
    <row r="9" spans="1:6" x14ac:dyDescent="0.25">
      <c r="A9" t="s">
        <v>13</v>
      </c>
      <c r="B9" s="1">
        <v>45659</v>
      </c>
      <c r="C9" s="2">
        <v>113.27</v>
      </c>
      <c r="D9">
        <v>-0.2</v>
      </c>
      <c r="E9" s="3">
        <v>106.19370000000001</v>
      </c>
      <c r="F9" s="4">
        <f t="shared" si="0"/>
        <v>6.2472852476383768E-2</v>
      </c>
    </row>
    <row r="10" spans="1:6" x14ac:dyDescent="0.25">
      <c r="A10" t="s">
        <v>13</v>
      </c>
      <c r="B10" s="1">
        <v>45171</v>
      </c>
      <c r="C10" s="2">
        <v>252.97</v>
      </c>
      <c r="D10">
        <v>-0.2</v>
      </c>
      <c r="E10" s="3">
        <v>274.18860000000001</v>
      </c>
      <c r="F10" s="4">
        <f t="shared" si="0"/>
        <v>-8.3877930189350552E-2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F6D5-A135-4955-B195-D61DE0F2405B}">
  <dimension ref="A1:F10"/>
  <sheetViews>
    <sheetView workbookViewId="0">
      <selection activeCell="P29" sqref="P2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-0.25</v>
      </c>
      <c r="E2" s="3">
        <v>205.5591</v>
      </c>
      <c r="F2" s="4">
        <f>(C2-E2)/C2</f>
        <v>-0.19268407310704966</v>
      </c>
    </row>
    <row r="3" spans="1:6" x14ac:dyDescent="0.25">
      <c r="A3" t="s">
        <v>7</v>
      </c>
      <c r="B3" s="1">
        <v>45172</v>
      </c>
      <c r="C3" s="2">
        <v>333.02</v>
      </c>
      <c r="D3">
        <v>-0.25</v>
      </c>
      <c r="E3" s="3">
        <v>338.68079999999998</v>
      </c>
      <c r="F3" s="4">
        <f t="shared" ref="F3:F10" si="0">(C3-E3)/C3</f>
        <v>-1.6998378475767205E-2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-0.25</v>
      </c>
      <c r="E4" s="3">
        <v>66.355999999999995</v>
      </c>
      <c r="F4" s="4">
        <f t="shared" si="0"/>
        <v>3.817944629656473E-2</v>
      </c>
    </row>
    <row r="5" spans="1:6" x14ac:dyDescent="0.25">
      <c r="A5" t="s">
        <v>11</v>
      </c>
      <c r="B5" s="1">
        <v>45645</v>
      </c>
      <c r="C5" s="2">
        <v>21.53</v>
      </c>
      <c r="D5">
        <v>-0.25</v>
      </c>
      <c r="E5" s="3">
        <v>27.136800000000001</v>
      </c>
      <c r="F5" s="4">
        <f t="shared" si="0"/>
        <v>-0.26041802136553643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-0.25</v>
      </c>
      <c r="E6" s="3">
        <v>99.823700000000002</v>
      </c>
      <c r="F6" s="4">
        <f t="shared" si="0"/>
        <v>0.22231458398254914</v>
      </c>
    </row>
    <row r="7" spans="1:6" x14ac:dyDescent="0.25">
      <c r="A7" t="s">
        <v>12</v>
      </c>
      <c r="B7" s="1">
        <v>45440</v>
      </c>
      <c r="C7" s="2">
        <v>218.59</v>
      </c>
      <c r="D7">
        <v>-0.25</v>
      </c>
      <c r="E7" s="3">
        <v>340.11822000000001</v>
      </c>
      <c r="F7" s="4">
        <f t="shared" si="0"/>
        <v>-0.55596422526190581</v>
      </c>
    </row>
    <row r="8" spans="1:6" x14ac:dyDescent="0.25">
      <c r="A8" t="s">
        <v>12</v>
      </c>
      <c r="B8" s="1">
        <v>44589</v>
      </c>
      <c r="C8" s="2">
        <v>627.15</v>
      </c>
      <c r="D8">
        <v>-0.25</v>
      </c>
      <c r="E8" s="3">
        <v>616.29750000000001</v>
      </c>
      <c r="F8" s="4">
        <f t="shared" si="0"/>
        <v>1.7304472614207068E-2</v>
      </c>
    </row>
    <row r="9" spans="1:6" x14ac:dyDescent="0.25">
      <c r="A9" t="s">
        <v>13</v>
      </c>
      <c r="B9" s="1">
        <v>45659</v>
      </c>
      <c r="C9" s="2">
        <v>113.27</v>
      </c>
      <c r="D9">
        <v>-0.25</v>
      </c>
      <c r="E9" s="3">
        <v>108.873</v>
      </c>
      <c r="F9" s="4">
        <f t="shared" si="0"/>
        <v>3.8818751655336728E-2</v>
      </c>
    </row>
    <row r="10" spans="1:6" x14ac:dyDescent="0.25">
      <c r="A10" t="s">
        <v>13</v>
      </c>
      <c r="B10" s="1">
        <v>45171</v>
      </c>
      <c r="C10" s="2">
        <v>252.97</v>
      </c>
      <c r="D10">
        <v>-0.25</v>
      </c>
      <c r="E10" s="3">
        <v>293.16149999999999</v>
      </c>
      <c r="F10" s="4">
        <f t="shared" si="0"/>
        <v>-0.15887852314503692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FDC-FD13-4F7A-9836-3210277C5D91}">
  <dimension ref="A1:F10"/>
  <sheetViews>
    <sheetView workbookViewId="0">
      <selection activeCell="R24" sqref="R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-0.3</v>
      </c>
      <c r="E2" s="3">
        <v>224.47980000000001</v>
      </c>
      <c r="F2" s="4">
        <f>(C2-E2)/C2</f>
        <v>-0.30246475195822464</v>
      </c>
    </row>
    <row r="3" spans="1:6" x14ac:dyDescent="0.25">
      <c r="A3" t="s">
        <v>7</v>
      </c>
      <c r="B3" s="1">
        <v>45172</v>
      </c>
      <c r="C3" s="2">
        <v>333.02</v>
      </c>
      <c r="D3">
        <v>-0.3</v>
      </c>
      <c r="E3" s="3">
        <v>350.62986999999998</v>
      </c>
      <c r="F3" s="4">
        <f t="shared" ref="F3:F10" si="0">(C3-E3)/C3</f>
        <v>-5.2879316557564116E-2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-0.3</v>
      </c>
      <c r="E4" s="3">
        <v>69.731499999999997</v>
      </c>
      <c r="F4" s="4">
        <f t="shared" si="0"/>
        <v>-1.0747934483258474E-2</v>
      </c>
    </row>
    <row r="5" spans="1:6" x14ac:dyDescent="0.25">
      <c r="A5" t="s">
        <v>11</v>
      </c>
      <c r="B5" s="1">
        <v>45645</v>
      </c>
      <c r="C5" s="2">
        <v>21.53</v>
      </c>
      <c r="D5">
        <v>-0.3</v>
      </c>
      <c r="E5" s="3">
        <v>36.773000000000003</v>
      </c>
      <c r="F5" s="4">
        <f t="shared" si="0"/>
        <v>-0.70798885276358581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-0.3</v>
      </c>
      <c r="E6" s="3">
        <v>102.35339999999999</v>
      </c>
      <c r="F6" s="4">
        <f t="shared" si="0"/>
        <v>0.20260673106886895</v>
      </c>
    </row>
    <row r="7" spans="1:6" x14ac:dyDescent="0.25">
      <c r="A7" t="s">
        <v>12</v>
      </c>
      <c r="B7" s="1">
        <v>45440</v>
      </c>
      <c r="C7" s="2">
        <v>218.59</v>
      </c>
      <c r="D7">
        <v>-0.3</v>
      </c>
      <c r="E7" s="3">
        <v>469.65800000000002</v>
      </c>
      <c r="F7" s="4">
        <f t="shared" si="0"/>
        <v>-1.1485795324580266</v>
      </c>
    </row>
    <row r="8" spans="1:6" x14ac:dyDescent="0.25">
      <c r="A8" t="s">
        <v>12</v>
      </c>
      <c r="B8" s="1">
        <v>44589</v>
      </c>
      <c r="C8" s="2">
        <v>627.15</v>
      </c>
      <c r="D8">
        <v>-0.3</v>
      </c>
      <c r="E8" s="3">
        <v>619.38980000000004</v>
      </c>
      <c r="F8" s="4">
        <f t="shared" si="0"/>
        <v>1.2373754285258616E-2</v>
      </c>
    </row>
    <row r="9" spans="1:6" x14ac:dyDescent="0.25">
      <c r="A9" t="s">
        <v>13</v>
      </c>
      <c r="B9" s="1">
        <v>45659</v>
      </c>
      <c r="C9" s="2">
        <v>113.27</v>
      </c>
      <c r="D9">
        <v>-0.3</v>
      </c>
      <c r="E9" s="3">
        <v>113.589</v>
      </c>
      <c r="F9" s="4">
        <f t="shared" si="0"/>
        <v>-2.8162796857067415E-3</v>
      </c>
    </row>
    <row r="10" spans="1:6" x14ac:dyDescent="0.25">
      <c r="A10" t="s">
        <v>13</v>
      </c>
      <c r="B10" s="1">
        <v>45171</v>
      </c>
      <c r="C10" s="2">
        <v>252.97</v>
      </c>
      <c r="D10">
        <v>-0.3</v>
      </c>
      <c r="E10" s="3">
        <v>311.24970000000002</v>
      </c>
      <c r="F10" s="4">
        <f t="shared" si="0"/>
        <v>-0.23038186346207068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1BE2-E546-4C41-8A05-415E5B1C5FA9}">
  <dimension ref="A1:F10"/>
  <sheetViews>
    <sheetView workbookViewId="0">
      <selection activeCell="K30" sqref="K3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-0.35</v>
      </c>
      <c r="E2" s="3">
        <v>242.07</v>
      </c>
      <c r="F2" s="4">
        <f>(C2-E2)/C2</f>
        <v>-0.40452567449956484</v>
      </c>
    </row>
    <row r="3" spans="1:6" x14ac:dyDescent="0.25">
      <c r="A3" t="s">
        <v>7</v>
      </c>
      <c r="B3" s="1">
        <v>45172</v>
      </c>
      <c r="C3" s="2">
        <v>333.02</v>
      </c>
      <c r="D3">
        <v>-0.35</v>
      </c>
      <c r="E3" s="3">
        <v>386.78300000000002</v>
      </c>
      <c r="F3" s="4">
        <f t="shared" ref="F3:F10" si="0">(C3-E3)/C3</f>
        <v>-0.16144075430905061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-0.35</v>
      </c>
      <c r="E4" s="3">
        <v>73.864999999999995</v>
      </c>
      <c r="F4" s="4">
        <f t="shared" si="0"/>
        <v>-7.0662414842730836E-2</v>
      </c>
    </row>
    <row r="5" spans="1:6" x14ac:dyDescent="0.25">
      <c r="A5" t="s">
        <v>11</v>
      </c>
      <c r="B5" s="1">
        <v>45645</v>
      </c>
      <c r="C5" s="2">
        <v>21.53</v>
      </c>
      <c r="D5">
        <v>-0.35</v>
      </c>
      <c r="E5" s="3">
        <v>53.8292</v>
      </c>
      <c r="F5" s="4">
        <f t="shared" si="0"/>
        <v>-1.5001950766372503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-0.35</v>
      </c>
      <c r="E6" s="3">
        <v>105.006</v>
      </c>
      <c r="F6" s="4">
        <f t="shared" si="0"/>
        <v>0.18194141477095677</v>
      </c>
    </row>
    <row r="7" spans="1:6" x14ac:dyDescent="0.25">
      <c r="A7" t="s">
        <v>12</v>
      </c>
      <c r="B7" s="1">
        <v>45440</v>
      </c>
      <c r="C7" s="2">
        <v>218.59</v>
      </c>
      <c r="D7">
        <v>-0.35</v>
      </c>
      <c r="E7" s="3">
        <v>777.52250000000004</v>
      </c>
      <c r="F7" s="4">
        <f t="shared" si="0"/>
        <v>-2.5569902557299051</v>
      </c>
    </row>
    <row r="8" spans="1:6" x14ac:dyDescent="0.25">
      <c r="A8" t="s">
        <v>12</v>
      </c>
      <c r="B8" s="1">
        <v>44589</v>
      </c>
      <c r="C8" s="2">
        <v>627.15</v>
      </c>
      <c r="D8">
        <v>-0.35</v>
      </c>
      <c r="E8" s="3">
        <v>624.94569999999999</v>
      </c>
      <c r="F8" s="4">
        <f t="shared" si="0"/>
        <v>3.5147891254085776E-3</v>
      </c>
    </row>
    <row r="9" spans="1:6" x14ac:dyDescent="0.25">
      <c r="A9" t="s">
        <v>13</v>
      </c>
      <c r="B9" s="1">
        <v>45659</v>
      </c>
      <c r="C9" s="2">
        <v>113.27</v>
      </c>
      <c r="D9">
        <v>-0.35</v>
      </c>
      <c r="E9" s="3">
        <v>153.3339</v>
      </c>
      <c r="F9" s="4">
        <f t="shared" si="0"/>
        <v>-0.3537026573673524</v>
      </c>
    </row>
    <row r="10" spans="1:6" x14ac:dyDescent="0.25">
      <c r="A10" t="s">
        <v>13</v>
      </c>
      <c r="B10" s="1">
        <v>45171</v>
      </c>
      <c r="C10" s="2">
        <v>252.97</v>
      </c>
      <c r="D10">
        <v>-0.35</v>
      </c>
      <c r="E10" s="3">
        <v>350.64449999999999</v>
      </c>
      <c r="F10" s="4">
        <f t="shared" si="0"/>
        <v>-0.38611100130450249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2E5B-4A79-4272-A7DC-63D92A6E8B29}">
  <dimension ref="A1:F10"/>
  <sheetViews>
    <sheetView workbookViewId="0">
      <selection activeCell="L31" sqref="L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</row>
    <row r="2" spans="1:6" x14ac:dyDescent="0.25">
      <c r="A2" t="s">
        <v>7</v>
      </c>
      <c r="B2" s="1">
        <v>45653</v>
      </c>
      <c r="C2" s="2">
        <v>172.35</v>
      </c>
      <c r="D2">
        <v>-0.4</v>
      </c>
      <c r="E2" s="3">
        <v>264.04000000000002</v>
      </c>
      <c r="F2" s="4">
        <f>(C2-E2)/C2</f>
        <v>-0.53199883957064131</v>
      </c>
    </row>
    <row r="3" spans="1:6" x14ac:dyDescent="0.25">
      <c r="A3" t="s">
        <v>7</v>
      </c>
      <c r="B3" s="1">
        <v>45172</v>
      </c>
      <c r="C3" s="2">
        <v>333.02</v>
      </c>
      <c r="D3">
        <v>-0.4</v>
      </c>
      <c r="E3" s="3">
        <v>456.08210000000003</v>
      </c>
      <c r="F3" s="4">
        <f t="shared" ref="F3:F10" si="0">(C3-E3)/C3</f>
        <v>-0.36953366164194357</v>
      </c>
    </row>
    <row r="4" spans="1:6" x14ac:dyDescent="0.25">
      <c r="A4" t="s">
        <v>11</v>
      </c>
      <c r="B4" s="1">
        <v>45286</v>
      </c>
      <c r="C4" s="2">
        <v>68.989999999999995</v>
      </c>
      <c r="D4">
        <v>-0.4</v>
      </c>
      <c r="E4" s="3">
        <v>80.933000000000007</v>
      </c>
      <c r="F4" s="4">
        <f t="shared" si="0"/>
        <v>-0.17311204522394569</v>
      </c>
    </row>
    <row r="5" spans="1:6" x14ac:dyDescent="0.25">
      <c r="A5" t="s">
        <v>11</v>
      </c>
      <c r="B5" s="1">
        <v>45645</v>
      </c>
      <c r="C5" s="2">
        <v>21.53</v>
      </c>
      <c r="D5">
        <v>-0.4</v>
      </c>
      <c r="E5" s="3">
        <v>70.741</v>
      </c>
      <c r="F5" s="4">
        <f t="shared" si="0"/>
        <v>-2.2856943799349745</v>
      </c>
    </row>
    <row r="6" spans="1:6" x14ac:dyDescent="0.25">
      <c r="A6" t="s">
        <v>11</v>
      </c>
      <c r="B6" s="1">
        <v>44703</v>
      </c>
      <c r="C6" s="2">
        <v>128.36000000000001</v>
      </c>
      <c r="D6">
        <v>-0.4</v>
      </c>
      <c r="E6" s="3">
        <v>107.9676</v>
      </c>
      <c r="F6" s="4">
        <f t="shared" si="0"/>
        <v>0.15886880648177007</v>
      </c>
    </row>
    <row r="7" spans="1:6" x14ac:dyDescent="0.25">
      <c r="A7" t="s">
        <v>12</v>
      </c>
      <c r="B7" s="1">
        <v>45440</v>
      </c>
      <c r="C7" s="2">
        <v>218.59</v>
      </c>
      <c r="D7">
        <v>-0.4</v>
      </c>
      <c r="E7" s="3">
        <v>1116.8561999999999</v>
      </c>
      <c r="F7" s="4">
        <f t="shared" si="0"/>
        <v>-4.1093654787501714</v>
      </c>
    </row>
    <row r="8" spans="1:6" x14ac:dyDescent="0.25">
      <c r="A8" t="s">
        <v>12</v>
      </c>
      <c r="B8" s="1">
        <v>44589</v>
      </c>
      <c r="C8" s="2">
        <v>627.15</v>
      </c>
      <c r="D8">
        <v>-0.4</v>
      </c>
      <c r="E8" s="3">
        <v>635.69100000000003</v>
      </c>
      <c r="F8" s="4">
        <f t="shared" si="0"/>
        <v>-1.3618751494857776E-2</v>
      </c>
    </row>
    <row r="9" spans="1:6" x14ac:dyDescent="0.25">
      <c r="A9" t="s">
        <v>13</v>
      </c>
      <c r="B9" s="1">
        <v>45659</v>
      </c>
      <c r="C9" s="2">
        <v>113.27</v>
      </c>
      <c r="D9">
        <v>-0.4</v>
      </c>
      <c r="E9" s="3">
        <v>205.31970000000001</v>
      </c>
      <c r="F9" s="4">
        <f t="shared" si="0"/>
        <v>-0.81265736735234417</v>
      </c>
    </row>
    <row r="10" spans="1:6" x14ac:dyDescent="0.25">
      <c r="A10" t="s">
        <v>13</v>
      </c>
      <c r="B10" s="1">
        <v>45171</v>
      </c>
      <c r="C10" s="2">
        <v>252.97</v>
      </c>
      <c r="D10">
        <v>-0.4</v>
      </c>
      <c r="E10" s="3">
        <v>490.20830000000001</v>
      </c>
      <c r="F10" s="4">
        <f t="shared" si="0"/>
        <v>-0.93781199351701783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1547-1EEB-4D98-AEF8-CE81176345DB}">
  <dimension ref="A1:B14"/>
  <sheetViews>
    <sheetView workbookViewId="0">
      <selection activeCell="A14" sqref="A14"/>
    </sheetView>
  </sheetViews>
  <sheetFormatPr defaultRowHeight="15" x14ac:dyDescent="0.25"/>
  <sheetData>
    <row r="1" spans="1:2" x14ac:dyDescent="0.25">
      <c r="A1" s="13" t="s">
        <v>26</v>
      </c>
      <c r="B1" s="13" t="s">
        <v>27</v>
      </c>
    </row>
    <row r="2" spans="1:2" x14ac:dyDescent="0.25">
      <c r="A2" s="14">
        <v>-0.4</v>
      </c>
      <c r="B2" s="15">
        <v>0.29970000000000002</v>
      </c>
    </row>
    <row r="3" spans="1:2" x14ac:dyDescent="0.25">
      <c r="A3" s="14">
        <v>-0.35</v>
      </c>
      <c r="B3" s="15">
        <v>0.50549999999999995</v>
      </c>
    </row>
    <row r="4" spans="1:2" x14ac:dyDescent="0.25">
      <c r="A4" s="14">
        <v>-0.3</v>
      </c>
      <c r="B4" s="15">
        <v>0.82389999999999997</v>
      </c>
    </row>
    <row r="5" spans="1:2" x14ac:dyDescent="0.25">
      <c r="A5" s="14">
        <v>-0.25</v>
      </c>
      <c r="B5" s="15">
        <v>0.94350000000000001</v>
      </c>
    </row>
    <row r="6" spans="1:2" x14ac:dyDescent="0.25">
      <c r="A6" s="14">
        <v>-0.2</v>
      </c>
      <c r="B6" s="15">
        <v>0.98460000000000003</v>
      </c>
    </row>
    <row r="7" spans="1:2" x14ac:dyDescent="0.25">
      <c r="A7" s="14">
        <v>-0.15</v>
      </c>
      <c r="B7" s="15">
        <v>0.99529999999999996</v>
      </c>
    </row>
    <row r="8" spans="1:2" x14ac:dyDescent="0.25">
      <c r="A8" s="14">
        <v>-0.1</v>
      </c>
      <c r="B8" s="15">
        <v>0.99539999999999995</v>
      </c>
    </row>
    <row r="9" spans="1:2" x14ac:dyDescent="0.25">
      <c r="A9" s="14">
        <v>-0.05</v>
      </c>
      <c r="B9" s="15">
        <v>0.98660000000000003</v>
      </c>
    </row>
    <row r="10" spans="1:2" x14ac:dyDescent="0.25">
      <c r="A10" s="14">
        <v>0</v>
      </c>
      <c r="B10" s="15">
        <v>0.96799999999999997</v>
      </c>
    </row>
    <row r="11" spans="1:2" x14ac:dyDescent="0.25">
      <c r="A11" s="14">
        <v>0.05</v>
      </c>
      <c r="B11" s="15">
        <v>0.96509999999999996</v>
      </c>
    </row>
    <row r="12" spans="1:2" x14ac:dyDescent="0.25">
      <c r="A12" s="14">
        <v>0.1</v>
      </c>
      <c r="B12" s="15">
        <v>0.96399999999999997</v>
      </c>
    </row>
    <row r="13" spans="1:2" x14ac:dyDescent="0.25">
      <c r="A13" s="14">
        <v>0.15</v>
      </c>
      <c r="B13" s="15">
        <v>0.96319999999999995</v>
      </c>
    </row>
    <row r="14" spans="1:2" x14ac:dyDescent="0.25">
      <c r="A14" s="14">
        <v>0.2</v>
      </c>
      <c r="B14" s="15">
        <v>0.95899999999999996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FD58-3246-4F59-9A2F-19DA9D7389E4}">
  <dimension ref="A2:B18"/>
  <sheetViews>
    <sheetView workbookViewId="0">
      <selection activeCell="A14" sqref="A14"/>
    </sheetView>
  </sheetViews>
  <sheetFormatPr defaultRowHeight="15" x14ac:dyDescent="0.25"/>
  <cols>
    <col min="1" max="2" width="13.42578125" bestFit="1" customWidth="1"/>
  </cols>
  <sheetData>
    <row r="2" spans="1:2" x14ac:dyDescent="0.25">
      <c r="A2" t="s">
        <v>4</v>
      </c>
      <c r="B2" t="s">
        <v>8</v>
      </c>
    </row>
    <row r="3" spans="1:2" x14ac:dyDescent="0.25">
      <c r="A3" t="s">
        <v>6</v>
      </c>
      <c r="B3" t="s">
        <v>10</v>
      </c>
    </row>
    <row r="5" spans="1:2" x14ac:dyDescent="0.25">
      <c r="A5" t="s">
        <v>26</v>
      </c>
      <c r="B5" t="s">
        <v>28</v>
      </c>
    </row>
    <row r="6" spans="1:2" x14ac:dyDescent="0.25">
      <c r="A6" s="14">
        <v>-0.4</v>
      </c>
      <c r="B6">
        <v>1</v>
      </c>
    </row>
    <row r="7" spans="1:2" x14ac:dyDescent="0.25">
      <c r="A7" s="14">
        <v>-0.35</v>
      </c>
      <c r="B7">
        <v>1</v>
      </c>
    </row>
    <row r="8" spans="1:2" x14ac:dyDescent="0.25">
      <c r="A8" s="14">
        <v>-0.3</v>
      </c>
      <c r="B8">
        <v>1</v>
      </c>
    </row>
    <row r="9" spans="1:2" x14ac:dyDescent="0.25">
      <c r="A9" s="14">
        <v>-0.25</v>
      </c>
      <c r="B9">
        <v>2</v>
      </c>
    </row>
    <row r="10" spans="1:2" x14ac:dyDescent="0.25">
      <c r="A10" s="14">
        <v>-0.2</v>
      </c>
      <c r="B10">
        <v>12</v>
      </c>
    </row>
    <row r="11" spans="1:2" x14ac:dyDescent="0.25">
      <c r="A11" s="14">
        <v>-0.17499999999999999</v>
      </c>
      <c r="B11">
        <v>1</v>
      </c>
    </row>
    <row r="12" spans="1:2" x14ac:dyDescent="0.25">
      <c r="A12" s="14">
        <v>-0.15</v>
      </c>
      <c r="B12">
        <v>8</v>
      </c>
    </row>
    <row r="13" spans="1:2" x14ac:dyDescent="0.25">
      <c r="A13" s="14">
        <v>-0.125</v>
      </c>
      <c r="B13">
        <v>1</v>
      </c>
    </row>
    <row r="14" spans="1:2" x14ac:dyDescent="0.25">
      <c r="A14" s="14">
        <v>-0.1</v>
      </c>
      <c r="B14">
        <v>80</v>
      </c>
    </row>
    <row r="15" spans="1:2" x14ac:dyDescent="0.25">
      <c r="A15" s="14">
        <v>-7.4999999999999997E-2</v>
      </c>
      <c r="B15">
        <v>3</v>
      </c>
    </row>
    <row r="16" spans="1:2" x14ac:dyDescent="0.25">
      <c r="A16" s="14">
        <v>-0.05</v>
      </c>
      <c r="B16">
        <v>5</v>
      </c>
    </row>
    <row r="17" spans="1:2" x14ac:dyDescent="0.25">
      <c r="A17" s="14">
        <v>0</v>
      </c>
      <c r="B17">
        <v>2</v>
      </c>
    </row>
    <row r="18" spans="1:2" x14ac:dyDescent="0.25">
      <c r="A18" s="14" t="s">
        <v>29</v>
      </c>
      <c r="B18">
        <v>117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8F1E-3375-4B8F-A8BC-2D33AE4A7686}">
  <sheetPr filterMode="1"/>
  <dimension ref="A1:H239"/>
  <sheetViews>
    <sheetView workbookViewId="0">
      <selection activeCell="A14" sqref="A14"/>
    </sheetView>
  </sheetViews>
  <sheetFormatPr defaultRowHeight="15" x14ac:dyDescent="0.25"/>
  <cols>
    <col min="1" max="1" width="24.5703125" customWidth="1"/>
    <col min="2" max="2" width="14" customWidth="1"/>
    <col min="3" max="3" width="9.42578125" bestFit="1" customWidth="1"/>
    <col min="4" max="4" width="16.5703125" customWidth="1"/>
    <col min="5" max="7" width="13.7109375" customWidth="1"/>
    <col min="8" max="8" width="39.4257812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30</v>
      </c>
      <c r="H1" t="s">
        <v>31</v>
      </c>
    </row>
    <row r="2" spans="1:8" x14ac:dyDescent="0.25">
      <c r="A2" t="s">
        <v>12</v>
      </c>
      <c r="B2" s="16">
        <v>45730</v>
      </c>
      <c r="C2">
        <v>-0.4</v>
      </c>
      <c r="D2" t="s">
        <v>8</v>
      </c>
      <c r="E2" s="3">
        <v>480.16070000000002</v>
      </c>
      <c r="F2" s="3" t="s">
        <v>10</v>
      </c>
      <c r="H2" t="s">
        <v>32</v>
      </c>
    </row>
    <row r="3" spans="1:8" x14ac:dyDescent="0.25">
      <c r="A3" t="s">
        <v>11</v>
      </c>
      <c r="B3" s="16">
        <v>45776</v>
      </c>
      <c r="C3">
        <v>-0.35</v>
      </c>
      <c r="D3" t="s">
        <v>8</v>
      </c>
      <c r="E3" s="3">
        <v>110.07250000000001</v>
      </c>
      <c r="F3" s="3" t="s">
        <v>10</v>
      </c>
    </row>
    <row r="4" spans="1:8" x14ac:dyDescent="0.25">
      <c r="A4" t="s">
        <v>12</v>
      </c>
      <c r="B4" s="16">
        <v>45711</v>
      </c>
      <c r="C4">
        <v>-0.3</v>
      </c>
      <c r="D4" t="s">
        <v>8</v>
      </c>
      <c r="E4" s="3">
        <v>485.28583700000001</v>
      </c>
      <c r="F4" s="3" t="s">
        <v>10</v>
      </c>
    </row>
    <row r="5" spans="1:8" x14ac:dyDescent="0.25">
      <c r="A5" t="s">
        <v>11</v>
      </c>
      <c r="B5" s="16">
        <v>45765</v>
      </c>
      <c r="C5">
        <v>-0.25</v>
      </c>
      <c r="D5" t="s">
        <v>8</v>
      </c>
      <c r="E5" s="3">
        <v>114.8202</v>
      </c>
      <c r="F5" s="3" t="s">
        <v>10</v>
      </c>
    </row>
    <row r="6" spans="1:8" x14ac:dyDescent="0.25">
      <c r="A6" t="s">
        <v>13</v>
      </c>
      <c r="B6" s="16">
        <v>45730</v>
      </c>
      <c r="C6">
        <v>-0.2</v>
      </c>
      <c r="D6" t="s">
        <v>8</v>
      </c>
      <c r="E6" s="3">
        <v>153.95939999999999</v>
      </c>
      <c r="F6" s="3" t="s">
        <v>10</v>
      </c>
      <c r="G6" s="3"/>
      <c r="H6" t="s">
        <v>33</v>
      </c>
    </row>
    <row r="7" spans="1:8" x14ac:dyDescent="0.25">
      <c r="A7" t="s">
        <v>13</v>
      </c>
      <c r="B7" s="16">
        <v>45770</v>
      </c>
      <c r="C7">
        <v>-0.2</v>
      </c>
      <c r="D7" t="s">
        <v>8</v>
      </c>
      <c r="E7" s="3">
        <v>170.35919999999999</v>
      </c>
      <c r="F7" s="3" t="s">
        <v>10</v>
      </c>
      <c r="G7" s="3"/>
      <c r="H7" t="s">
        <v>34</v>
      </c>
    </row>
    <row r="8" spans="1:8" x14ac:dyDescent="0.25">
      <c r="A8" t="s">
        <v>13</v>
      </c>
      <c r="B8" s="16">
        <v>45784</v>
      </c>
      <c r="C8">
        <v>-0.2</v>
      </c>
      <c r="D8" t="s">
        <v>8</v>
      </c>
      <c r="E8" s="3">
        <v>171.9306</v>
      </c>
      <c r="F8" s="3" t="s">
        <v>10</v>
      </c>
      <c r="G8" s="3"/>
    </row>
    <row r="9" spans="1:8" x14ac:dyDescent="0.25">
      <c r="A9" t="s">
        <v>11</v>
      </c>
      <c r="B9" s="16">
        <v>45711</v>
      </c>
      <c r="C9">
        <v>-0.2</v>
      </c>
      <c r="D9" t="s">
        <v>8</v>
      </c>
      <c r="E9" s="3">
        <v>120.35267</v>
      </c>
      <c r="F9" s="3" t="s">
        <v>10</v>
      </c>
    </row>
    <row r="10" spans="1:8" x14ac:dyDescent="0.25">
      <c r="A10" t="s">
        <v>11</v>
      </c>
      <c r="B10" s="16">
        <v>45730</v>
      </c>
      <c r="C10">
        <v>-0.2</v>
      </c>
      <c r="D10" t="s">
        <v>8</v>
      </c>
      <c r="E10" s="3">
        <v>116.79898</v>
      </c>
      <c r="F10" s="3" t="s">
        <v>10</v>
      </c>
    </row>
    <row r="11" spans="1:8" x14ac:dyDescent="0.25">
      <c r="A11" t="s">
        <v>11</v>
      </c>
      <c r="B11" s="16">
        <v>45737</v>
      </c>
      <c r="C11">
        <v>-0.2</v>
      </c>
      <c r="D11" t="s">
        <v>8</v>
      </c>
      <c r="E11" s="3">
        <v>120.91618</v>
      </c>
      <c r="F11" s="3" t="s">
        <v>10</v>
      </c>
    </row>
    <row r="12" spans="1:8" x14ac:dyDescent="0.25">
      <c r="A12" t="s">
        <v>12</v>
      </c>
      <c r="B12" s="16">
        <v>45667</v>
      </c>
      <c r="C12">
        <v>-0.2</v>
      </c>
      <c r="D12" t="s">
        <v>8</v>
      </c>
      <c r="E12" s="3">
        <v>346.3965</v>
      </c>
      <c r="F12" s="3" t="s">
        <v>10</v>
      </c>
    </row>
    <row r="13" spans="1:8" x14ac:dyDescent="0.25">
      <c r="A13" t="s">
        <v>12</v>
      </c>
      <c r="B13" s="16">
        <v>45678</v>
      </c>
      <c r="C13">
        <v>-0.2</v>
      </c>
      <c r="D13" t="s">
        <v>8</v>
      </c>
      <c r="E13" s="3">
        <v>421.59059999999999</v>
      </c>
      <c r="F13" s="3" t="s">
        <v>10</v>
      </c>
      <c r="H13" t="s">
        <v>32</v>
      </c>
    </row>
    <row r="14" spans="1:8" x14ac:dyDescent="0.25">
      <c r="A14" t="s">
        <v>12</v>
      </c>
      <c r="B14" s="16">
        <v>45765</v>
      </c>
      <c r="C14">
        <v>-0.2</v>
      </c>
      <c r="D14" t="s">
        <v>8</v>
      </c>
      <c r="E14" s="3">
        <v>487.3725</v>
      </c>
      <c r="F14" s="3" t="s">
        <v>10</v>
      </c>
    </row>
    <row r="15" spans="1:8" x14ac:dyDescent="0.25">
      <c r="A15" t="s">
        <v>12</v>
      </c>
      <c r="B15" s="16">
        <v>45788</v>
      </c>
      <c r="C15">
        <v>-0.2</v>
      </c>
      <c r="D15" t="s">
        <v>8</v>
      </c>
      <c r="E15" s="3">
        <v>485.33940000000001</v>
      </c>
      <c r="F15" s="3" t="s">
        <v>10</v>
      </c>
    </row>
    <row r="16" spans="1:8" x14ac:dyDescent="0.25">
      <c r="A16" t="s">
        <v>13</v>
      </c>
      <c r="B16" s="16">
        <v>45465</v>
      </c>
      <c r="C16">
        <v>-0.17499999999999999</v>
      </c>
      <c r="D16" t="s">
        <v>8</v>
      </c>
      <c r="E16" s="3">
        <v>156.27959999999999</v>
      </c>
      <c r="F16" s="3" t="s">
        <v>10</v>
      </c>
      <c r="G16" s="3"/>
    </row>
    <row r="17" spans="1:8" x14ac:dyDescent="0.25">
      <c r="A17" t="s">
        <v>11</v>
      </c>
      <c r="B17" s="16">
        <v>45411</v>
      </c>
      <c r="C17">
        <v>-0.15</v>
      </c>
      <c r="D17" t="s">
        <v>8</v>
      </c>
      <c r="E17" s="3">
        <v>60.31812</v>
      </c>
      <c r="F17" s="3" t="s">
        <v>10</v>
      </c>
      <c r="G17" s="3"/>
      <c r="H17" t="s">
        <v>35</v>
      </c>
    </row>
    <row r="18" spans="1:8" x14ac:dyDescent="0.25">
      <c r="A18" t="s">
        <v>11</v>
      </c>
      <c r="B18" s="16">
        <v>45417</v>
      </c>
      <c r="C18">
        <v>-0.15</v>
      </c>
      <c r="D18" t="s">
        <v>8</v>
      </c>
      <c r="E18" s="3">
        <v>61.222000000000001</v>
      </c>
      <c r="F18" s="3" t="s">
        <v>10</v>
      </c>
      <c r="G18" s="3"/>
    </row>
    <row r="19" spans="1:8" x14ac:dyDescent="0.25">
      <c r="A19" t="s">
        <v>11</v>
      </c>
      <c r="B19" s="16">
        <v>45466</v>
      </c>
      <c r="C19">
        <v>-0.15</v>
      </c>
      <c r="D19" t="s">
        <v>8</v>
      </c>
      <c r="E19" s="3">
        <v>49.295090000000002</v>
      </c>
      <c r="F19" s="3" t="s">
        <v>10</v>
      </c>
    </row>
    <row r="20" spans="1:8" x14ac:dyDescent="0.25">
      <c r="A20" t="s">
        <v>11</v>
      </c>
      <c r="B20" s="16">
        <v>45490</v>
      </c>
      <c r="C20">
        <v>-0.15</v>
      </c>
      <c r="D20" t="s">
        <v>8</v>
      </c>
      <c r="E20" s="3">
        <v>41.86101</v>
      </c>
      <c r="F20" s="3" t="s">
        <v>10</v>
      </c>
    </row>
    <row r="21" spans="1:8" hidden="1" x14ac:dyDescent="0.25">
      <c r="A21" t="s">
        <v>13</v>
      </c>
      <c r="B21" s="17">
        <v>45771</v>
      </c>
      <c r="C21">
        <v>17</v>
      </c>
      <c r="D21" t="s">
        <v>36</v>
      </c>
      <c r="E21" s="3">
        <v>154.26</v>
      </c>
      <c r="F21" s="3"/>
      <c r="G21" s="3"/>
    </row>
    <row r="22" spans="1:8" hidden="1" x14ac:dyDescent="0.25">
      <c r="A22" t="s">
        <v>13</v>
      </c>
      <c r="B22" s="17">
        <v>45441</v>
      </c>
      <c r="C22">
        <v>17</v>
      </c>
      <c r="D22" t="s">
        <v>37</v>
      </c>
      <c r="E22">
        <v>145.76</v>
      </c>
    </row>
    <row r="23" spans="1:8" hidden="1" x14ac:dyDescent="0.25">
      <c r="A23" t="s">
        <v>13</v>
      </c>
      <c r="B23" s="17">
        <v>45772</v>
      </c>
      <c r="C23">
        <v>17</v>
      </c>
      <c r="D23" t="s">
        <v>36</v>
      </c>
      <c r="E23" s="3">
        <v>168.8</v>
      </c>
      <c r="F23" s="3"/>
      <c r="G23" s="3"/>
    </row>
    <row r="24" spans="1:8" hidden="1" x14ac:dyDescent="0.25">
      <c r="A24" t="s">
        <v>13</v>
      </c>
      <c r="B24" s="17">
        <v>45453</v>
      </c>
      <c r="C24">
        <v>17</v>
      </c>
      <c r="D24" t="s">
        <v>37</v>
      </c>
      <c r="E24">
        <v>143.43</v>
      </c>
    </row>
    <row r="25" spans="1:8" hidden="1" x14ac:dyDescent="0.25">
      <c r="A25" t="s">
        <v>13</v>
      </c>
      <c r="B25" s="17">
        <v>45465</v>
      </c>
      <c r="C25">
        <v>17</v>
      </c>
      <c r="D25" t="s">
        <v>37</v>
      </c>
      <c r="E25">
        <v>144.06</v>
      </c>
    </row>
    <row r="26" spans="1:8" hidden="1" x14ac:dyDescent="0.25">
      <c r="A26" t="s">
        <v>13</v>
      </c>
      <c r="B26" s="17">
        <v>45477</v>
      </c>
      <c r="C26">
        <v>17</v>
      </c>
      <c r="D26" t="s">
        <v>37</v>
      </c>
      <c r="E26">
        <v>140.71</v>
      </c>
    </row>
    <row r="27" spans="1:8" hidden="1" x14ac:dyDescent="0.25">
      <c r="A27" t="s">
        <v>13</v>
      </c>
      <c r="B27" s="17">
        <v>45489</v>
      </c>
      <c r="C27">
        <v>17</v>
      </c>
      <c r="D27" t="s">
        <v>37</v>
      </c>
      <c r="E27">
        <v>133.53</v>
      </c>
    </row>
    <row r="28" spans="1:8" hidden="1" x14ac:dyDescent="0.25">
      <c r="A28" t="s">
        <v>13</v>
      </c>
      <c r="B28" s="17">
        <v>45501</v>
      </c>
      <c r="C28">
        <v>17</v>
      </c>
      <c r="D28" t="s">
        <v>37</v>
      </c>
      <c r="E28">
        <v>136.38999999999999</v>
      </c>
    </row>
    <row r="29" spans="1:8" hidden="1" x14ac:dyDescent="0.25">
      <c r="A29" t="s">
        <v>13</v>
      </c>
      <c r="B29" s="17">
        <v>45513</v>
      </c>
      <c r="C29">
        <v>17</v>
      </c>
      <c r="D29" t="s">
        <v>37</v>
      </c>
      <c r="E29">
        <v>134.38999999999999</v>
      </c>
    </row>
    <row r="30" spans="1:8" hidden="1" x14ac:dyDescent="0.25">
      <c r="A30" t="s">
        <v>13</v>
      </c>
      <c r="B30" s="17">
        <v>45525</v>
      </c>
      <c r="C30">
        <v>17</v>
      </c>
      <c r="D30" t="s">
        <v>37</v>
      </c>
      <c r="E30">
        <v>133.19</v>
      </c>
    </row>
    <row r="31" spans="1:8" hidden="1" x14ac:dyDescent="0.25">
      <c r="A31" t="s">
        <v>13</v>
      </c>
      <c r="B31" s="17">
        <v>45537</v>
      </c>
      <c r="C31">
        <v>17</v>
      </c>
      <c r="D31" t="s">
        <v>37</v>
      </c>
      <c r="E31">
        <v>133.47</v>
      </c>
    </row>
    <row r="32" spans="1:8" hidden="1" x14ac:dyDescent="0.25">
      <c r="A32" t="s">
        <v>13</v>
      </c>
      <c r="B32" s="17">
        <v>45549</v>
      </c>
      <c r="C32">
        <v>17</v>
      </c>
      <c r="D32" t="s">
        <v>37</v>
      </c>
      <c r="E32">
        <v>126.77</v>
      </c>
    </row>
    <row r="33" spans="1:5" hidden="1" x14ac:dyDescent="0.25">
      <c r="A33" t="s">
        <v>13</v>
      </c>
      <c r="B33" s="17">
        <v>45561</v>
      </c>
      <c r="C33">
        <v>17</v>
      </c>
      <c r="D33" t="s">
        <v>37</v>
      </c>
      <c r="E33">
        <v>130.75</v>
      </c>
    </row>
    <row r="34" spans="1:5" hidden="1" x14ac:dyDescent="0.25">
      <c r="A34" t="s">
        <v>13</v>
      </c>
      <c r="B34" s="17">
        <v>45573</v>
      </c>
      <c r="C34">
        <v>17</v>
      </c>
      <c r="D34" t="s">
        <v>37</v>
      </c>
      <c r="E34">
        <v>92.05</v>
      </c>
    </row>
    <row r="35" spans="1:5" hidden="1" x14ac:dyDescent="0.25">
      <c r="A35" t="s">
        <v>13</v>
      </c>
      <c r="B35" s="17">
        <v>45585</v>
      </c>
      <c r="C35">
        <v>17</v>
      </c>
      <c r="D35" t="s">
        <v>37</v>
      </c>
      <c r="E35">
        <v>116.96</v>
      </c>
    </row>
    <row r="36" spans="1:5" hidden="1" x14ac:dyDescent="0.25">
      <c r="A36" t="s">
        <v>13</v>
      </c>
      <c r="B36" s="17">
        <v>45597</v>
      </c>
      <c r="C36">
        <v>17</v>
      </c>
      <c r="D36" t="s">
        <v>37</v>
      </c>
      <c r="E36">
        <v>114.62</v>
      </c>
    </row>
    <row r="37" spans="1:5" hidden="1" x14ac:dyDescent="0.25">
      <c r="A37" t="s">
        <v>13</v>
      </c>
      <c r="B37" s="17">
        <v>45609</v>
      </c>
      <c r="C37">
        <v>17</v>
      </c>
      <c r="D37" t="s">
        <v>37</v>
      </c>
      <c r="E37">
        <v>106.34</v>
      </c>
    </row>
    <row r="38" spans="1:5" hidden="1" x14ac:dyDescent="0.25">
      <c r="A38" t="s">
        <v>13</v>
      </c>
      <c r="B38" s="17">
        <v>45621</v>
      </c>
      <c r="C38">
        <v>17</v>
      </c>
      <c r="D38" t="s">
        <v>37</v>
      </c>
      <c r="E38">
        <v>107.69</v>
      </c>
    </row>
    <row r="39" spans="1:5" hidden="1" x14ac:dyDescent="0.25">
      <c r="A39" t="s">
        <v>13</v>
      </c>
      <c r="B39" s="17">
        <v>45633</v>
      </c>
      <c r="C39">
        <v>17</v>
      </c>
      <c r="D39" t="s">
        <v>37</v>
      </c>
      <c r="E39">
        <v>108.05</v>
      </c>
    </row>
    <row r="40" spans="1:5" hidden="1" x14ac:dyDescent="0.25">
      <c r="A40" t="s">
        <v>13</v>
      </c>
      <c r="B40" s="17">
        <v>45645</v>
      </c>
      <c r="C40">
        <v>17</v>
      </c>
      <c r="D40" t="s">
        <v>37</v>
      </c>
      <c r="E40">
        <v>109.31</v>
      </c>
    </row>
    <row r="41" spans="1:5" hidden="1" x14ac:dyDescent="0.25">
      <c r="A41" t="s">
        <v>13</v>
      </c>
      <c r="B41" s="17">
        <v>45657</v>
      </c>
      <c r="C41">
        <v>17</v>
      </c>
      <c r="D41" t="s">
        <v>37</v>
      </c>
      <c r="E41">
        <v>106.25</v>
      </c>
    </row>
    <row r="42" spans="1:5" hidden="1" x14ac:dyDescent="0.25">
      <c r="A42" t="s">
        <v>13</v>
      </c>
      <c r="B42" s="17">
        <v>45669</v>
      </c>
      <c r="C42">
        <v>17</v>
      </c>
      <c r="D42" t="s">
        <v>37</v>
      </c>
      <c r="E42">
        <v>98.77</v>
      </c>
    </row>
    <row r="43" spans="1:5" hidden="1" x14ac:dyDescent="0.25">
      <c r="A43" t="s">
        <v>13</v>
      </c>
      <c r="B43" s="17">
        <v>45681</v>
      </c>
      <c r="C43">
        <v>17</v>
      </c>
      <c r="D43" t="s">
        <v>37</v>
      </c>
      <c r="E43">
        <v>125.52</v>
      </c>
    </row>
    <row r="44" spans="1:5" hidden="1" x14ac:dyDescent="0.25">
      <c r="A44" t="s">
        <v>13</v>
      </c>
      <c r="B44" s="17">
        <v>45693</v>
      </c>
      <c r="C44">
        <v>17</v>
      </c>
      <c r="D44" t="s">
        <v>37</v>
      </c>
      <c r="E44">
        <v>127.5</v>
      </c>
    </row>
    <row r="45" spans="1:5" hidden="1" x14ac:dyDescent="0.25">
      <c r="A45" t="s">
        <v>13</v>
      </c>
      <c r="B45" s="17">
        <v>45705</v>
      </c>
      <c r="C45">
        <v>17</v>
      </c>
      <c r="D45" t="s">
        <v>37</v>
      </c>
      <c r="E45">
        <v>140.01</v>
      </c>
    </row>
    <row r="46" spans="1:5" hidden="1" x14ac:dyDescent="0.25">
      <c r="A46" t="s">
        <v>13</v>
      </c>
      <c r="B46" s="17">
        <v>45717</v>
      </c>
      <c r="C46">
        <v>17</v>
      </c>
      <c r="D46" t="s">
        <v>37</v>
      </c>
      <c r="E46">
        <v>141.18</v>
      </c>
    </row>
    <row r="47" spans="1:5" hidden="1" x14ac:dyDescent="0.25">
      <c r="A47" t="s">
        <v>13</v>
      </c>
      <c r="B47" s="17">
        <v>45729</v>
      </c>
      <c r="C47">
        <v>17</v>
      </c>
      <c r="D47" t="s">
        <v>37</v>
      </c>
      <c r="E47">
        <v>130.56</v>
      </c>
    </row>
    <row r="48" spans="1:5" hidden="1" x14ac:dyDescent="0.25">
      <c r="A48" t="s">
        <v>13</v>
      </c>
      <c r="B48" s="17">
        <v>45741</v>
      </c>
      <c r="C48">
        <v>17</v>
      </c>
      <c r="D48" t="s">
        <v>37</v>
      </c>
      <c r="E48">
        <v>143.61000000000001</v>
      </c>
    </row>
    <row r="49" spans="1:7" hidden="1" x14ac:dyDescent="0.25">
      <c r="A49" t="s">
        <v>13</v>
      </c>
      <c r="B49" s="17">
        <v>45753</v>
      </c>
      <c r="C49">
        <v>17</v>
      </c>
      <c r="D49" t="s">
        <v>37</v>
      </c>
      <c r="E49">
        <v>151.99</v>
      </c>
    </row>
    <row r="50" spans="1:7" hidden="1" x14ac:dyDescent="0.25">
      <c r="A50" t="s">
        <v>13</v>
      </c>
      <c r="B50" s="17">
        <v>45765</v>
      </c>
      <c r="C50">
        <v>17</v>
      </c>
      <c r="D50" t="s">
        <v>37</v>
      </c>
      <c r="E50">
        <v>154.22</v>
      </c>
    </row>
    <row r="51" spans="1:7" hidden="1" x14ac:dyDescent="0.25">
      <c r="A51" t="s">
        <v>13</v>
      </c>
      <c r="B51" s="17">
        <v>45771</v>
      </c>
      <c r="C51">
        <v>17</v>
      </c>
      <c r="D51" t="s">
        <v>37</v>
      </c>
      <c r="E51" s="3">
        <v>156.33000000000001</v>
      </c>
      <c r="F51" s="3"/>
      <c r="G51" s="3"/>
    </row>
    <row r="52" spans="1:7" hidden="1" x14ac:dyDescent="0.25">
      <c r="A52" t="s">
        <v>13</v>
      </c>
      <c r="B52" s="17">
        <v>45771</v>
      </c>
      <c r="C52">
        <v>17</v>
      </c>
      <c r="D52" t="s">
        <v>37</v>
      </c>
      <c r="E52">
        <v>156.33000000000001</v>
      </c>
    </row>
    <row r="53" spans="1:7" hidden="1" x14ac:dyDescent="0.25">
      <c r="A53" t="s">
        <v>13</v>
      </c>
      <c r="B53" s="17">
        <v>45777</v>
      </c>
      <c r="C53">
        <v>17</v>
      </c>
      <c r="D53" t="s">
        <v>37</v>
      </c>
      <c r="E53">
        <v>154.75</v>
      </c>
    </row>
    <row r="54" spans="1:7" hidden="1" x14ac:dyDescent="0.25">
      <c r="A54" t="s">
        <v>13</v>
      </c>
      <c r="B54" s="17">
        <v>45783</v>
      </c>
      <c r="C54">
        <v>17</v>
      </c>
      <c r="D54" t="s">
        <v>37</v>
      </c>
      <c r="E54">
        <v>159.91</v>
      </c>
    </row>
    <row r="55" spans="1:7" hidden="1" x14ac:dyDescent="0.25">
      <c r="A55" t="s">
        <v>13</v>
      </c>
      <c r="B55" s="17">
        <v>45789</v>
      </c>
      <c r="C55">
        <v>17</v>
      </c>
      <c r="D55" t="s">
        <v>37</v>
      </c>
      <c r="E55">
        <v>156.04</v>
      </c>
    </row>
    <row r="56" spans="1:7" hidden="1" x14ac:dyDescent="0.25">
      <c r="A56" t="s">
        <v>13</v>
      </c>
      <c r="B56" s="17">
        <v>45795</v>
      </c>
      <c r="C56">
        <v>17</v>
      </c>
      <c r="D56" t="s">
        <v>37</v>
      </c>
      <c r="E56">
        <v>162.43</v>
      </c>
    </row>
    <row r="57" spans="1:7" hidden="1" x14ac:dyDescent="0.25">
      <c r="A57" t="s">
        <v>13</v>
      </c>
      <c r="B57" s="17">
        <v>45801</v>
      </c>
      <c r="C57">
        <v>17</v>
      </c>
      <c r="D57" t="s">
        <v>37</v>
      </c>
      <c r="E57">
        <v>157.21</v>
      </c>
    </row>
    <row r="58" spans="1:7" hidden="1" x14ac:dyDescent="0.25">
      <c r="A58" t="s">
        <v>13</v>
      </c>
      <c r="B58" s="17">
        <v>45442</v>
      </c>
      <c r="C58">
        <v>17</v>
      </c>
      <c r="D58" t="s">
        <v>36</v>
      </c>
      <c r="E58">
        <v>157.43</v>
      </c>
    </row>
    <row r="59" spans="1:7" hidden="1" x14ac:dyDescent="0.25">
      <c r="A59" t="s">
        <v>13</v>
      </c>
      <c r="B59" s="17">
        <v>45447</v>
      </c>
      <c r="C59">
        <v>17</v>
      </c>
      <c r="D59" t="s">
        <v>36</v>
      </c>
      <c r="E59">
        <v>144.24</v>
      </c>
    </row>
    <row r="60" spans="1:7" hidden="1" x14ac:dyDescent="0.25">
      <c r="A60" t="s">
        <v>13</v>
      </c>
      <c r="B60" s="17">
        <v>45454</v>
      </c>
      <c r="C60">
        <v>17</v>
      </c>
      <c r="D60" t="s">
        <v>36</v>
      </c>
      <c r="E60">
        <v>156.37</v>
      </c>
    </row>
    <row r="61" spans="1:7" hidden="1" x14ac:dyDescent="0.25">
      <c r="A61" t="s">
        <v>13</v>
      </c>
      <c r="B61" s="17">
        <v>45459</v>
      </c>
      <c r="C61">
        <v>17</v>
      </c>
      <c r="D61" t="s">
        <v>36</v>
      </c>
      <c r="E61">
        <v>137.49</v>
      </c>
    </row>
    <row r="62" spans="1:7" hidden="1" x14ac:dyDescent="0.25">
      <c r="A62" t="s">
        <v>13</v>
      </c>
      <c r="B62" s="17">
        <v>45466</v>
      </c>
      <c r="C62">
        <v>17</v>
      </c>
      <c r="D62" t="s">
        <v>36</v>
      </c>
      <c r="E62">
        <v>154.31</v>
      </c>
    </row>
    <row r="63" spans="1:7" hidden="1" x14ac:dyDescent="0.25">
      <c r="A63" t="s">
        <v>13</v>
      </c>
      <c r="B63" s="17">
        <v>45478</v>
      </c>
      <c r="C63">
        <v>17</v>
      </c>
      <c r="D63" t="s">
        <v>36</v>
      </c>
      <c r="E63">
        <v>153.49</v>
      </c>
    </row>
    <row r="64" spans="1:7" hidden="1" x14ac:dyDescent="0.25">
      <c r="A64" t="s">
        <v>13</v>
      </c>
      <c r="B64" s="17">
        <v>45483</v>
      </c>
      <c r="C64">
        <v>17</v>
      </c>
      <c r="D64" t="s">
        <v>36</v>
      </c>
      <c r="E64">
        <v>140.36000000000001</v>
      </c>
    </row>
    <row r="65" spans="1:5" hidden="1" x14ac:dyDescent="0.25">
      <c r="A65" t="s">
        <v>13</v>
      </c>
      <c r="B65" s="17">
        <v>45490</v>
      </c>
      <c r="C65">
        <v>17</v>
      </c>
      <c r="D65" t="s">
        <v>36</v>
      </c>
      <c r="E65">
        <v>149.08000000000001</v>
      </c>
    </row>
    <row r="66" spans="1:5" hidden="1" x14ac:dyDescent="0.25">
      <c r="A66" t="s">
        <v>13</v>
      </c>
      <c r="B66" s="17">
        <v>45495</v>
      </c>
      <c r="C66">
        <v>17</v>
      </c>
      <c r="D66" t="s">
        <v>36</v>
      </c>
      <c r="E66">
        <v>135.78</v>
      </c>
    </row>
    <row r="67" spans="1:5" hidden="1" x14ac:dyDescent="0.25">
      <c r="A67" t="s">
        <v>13</v>
      </c>
      <c r="B67" s="17">
        <v>45502</v>
      </c>
      <c r="C67">
        <v>17</v>
      </c>
      <c r="D67" t="s">
        <v>36</v>
      </c>
      <c r="E67">
        <v>149.41</v>
      </c>
    </row>
    <row r="68" spans="1:5" hidden="1" x14ac:dyDescent="0.25">
      <c r="A68" t="s">
        <v>13</v>
      </c>
      <c r="B68" s="17">
        <v>45507</v>
      </c>
      <c r="C68">
        <v>17</v>
      </c>
      <c r="D68" t="s">
        <v>36</v>
      </c>
      <c r="E68">
        <v>132.79</v>
      </c>
    </row>
    <row r="69" spans="1:5" hidden="1" x14ac:dyDescent="0.25">
      <c r="A69" t="s">
        <v>13</v>
      </c>
      <c r="B69" s="17">
        <v>45514</v>
      </c>
      <c r="C69">
        <v>17</v>
      </c>
      <c r="D69" t="s">
        <v>36</v>
      </c>
      <c r="E69">
        <v>145.53</v>
      </c>
    </row>
    <row r="70" spans="1:5" hidden="1" x14ac:dyDescent="0.25">
      <c r="A70" t="s">
        <v>13</v>
      </c>
      <c r="B70" s="17">
        <v>45519</v>
      </c>
      <c r="C70">
        <v>17</v>
      </c>
      <c r="D70" t="s">
        <v>36</v>
      </c>
      <c r="E70">
        <v>129.41999999999999</v>
      </c>
    </row>
    <row r="71" spans="1:5" hidden="1" x14ac:dyDescent="0.25">
      <c r="A71" t="s">
        <v>13</v>
      </c>
      <c r="B71" s="17">
        <v>45526</v>
      </c>
      <c r="C71">
        <v>17</v>
      </c>
      <c r="D71" t="s">
        <v>36</v>
      </c>
      <c r="E71">
        <v>125.81</v>
      </c>
    </row>
    <row r="72" spans="1:5" hidden="1" x14ac:dyDescent="0.25">
      <c r="A72" t="s">
        <v>13</v>
      </c>
      <c r="B72" s="17">
        <v>45531</v>
      </c>
      <c r="C72">
        <v>17</v>
      </c>
      <c r="D72" t="s">
        <v>36</v>
      </c>
      <c r="E72">
        <v>126.27</v>
      </c>
    </row>
    <row r="73" spans="1:5" hidden="1" x14ac:dyDescent="0.25">
      <c r="A73" t="s">
        <v>13</v>
      </c>
      <c r="B73" s="17">
        <v>45538</v>
      </c>
      <c r="C73">
        <v>17</v>
      </c>
      <c r="D73" t="s">
        <v>36</v>
      </c>
      <c r="E73">
        <v>143.5</v>
      </c>
    </row>
    <row r="74" spans="1:5" hidden="1" x14ac:dyDescent="0.25">
      <c r="A74" t="s">
        <v>13</v>
      </c>
      <c r="B74" s="17">
        <v>45543</v>
      </c>
      <c r="C74">
        <v>17</v>
      </c>
      <c r="D74" t="s">
        <v>36</v>
      </c>
      <c r="E74">
        <v>125.36</v>
      </c>
    </row>
    <row r="75" spans="1:5" hidden="1" x14ac:dyDescent="0.25">
      <c r="A75" t="s">
        <v>13</v>
      </c>
      <c r="B75" s="17">
        <v>45550</v>
      </c>
      <c r="C75">
        <v>17</v>
      </c>
      <c r="D75" t="s">
        <v>36</v>
      </c>
      <c r="E75">
        <v>135.07</v>
      </c>
    </row>
    <row r="76" spans="1:5" hidden="1" x14ac:dyDescent="0.25">
      <c r="A76" t="s">
        <v>13</v>
      </c>
      <c r="B76" s="17">
        <v>45555</v>
      </c>
      <c r="C76">
        <v>17</v>
      </c>
      <c r="D76" t="s">
        <v>36</v>
      </c>
      <c r="E76">
        <v>116.09</v>
      </c>
    </row>
    <row r="77" spans="1:5" hidden="1" x14ac:dyDescent="0.25">
      <c r="A77" t="s">
        <v>13</v>
      </c>
      <c r="B77" s="17">
        <v>45562</v>
      </c>
      <c r="C77">
        <v>17</v>
      </c>
      <c r="D77" t="s">
        <v>36</v>
      </c>
      <c r="E77">
        <v>131.5</v>
      </c>
    </row>
    <row r="78" spans="1:5" hidden="1" x14ac:dyDescent="0.25">
      <c r="A78" t="s">
        <v>13</v>
      </c>
      <c r="B78" s="17">
        <v>45567</v>
      </c>
      <c r="C78">
        <v>17</v>
      </c>
      <c r="D78" t="s">
        <v>36</v>
      </c>
      <c r="E78">
        <v>105.17</v>
      </c>
    </row>
    <row r="79" spans="1:5" hidden="1" x14ac:dyDescent="0.25">
      <c r="A79" t="s">
        <v>13</v>
      </c>
      <c r="B79" s="17">
        <v>45574</v>
      </c>
      <c r="C79">
        <v>17</v>
      </c>
      <c r="D79" t="s">
        <v>36</v>
      </c>
      <c r="E79">
        <v>121.61</v>
      </c>
    </row>
    <row r="80" spans="1:5" hidden="1" x14ac:dyDescent="0.25">
      <c r="A80" t="s">
        <v>13</v>
      </c>
      <c r="B80" s="17">
        <v>45579</v>
      </c>
      <c r="C80">
        <v>17</v>
      </c>
      <c r="D80" t="s">
        <v>36</v>
      </c>
      <c r="E80">
        <v>113.34</v>
      </c>
    </row>
    <row r="81" spans="1:5" hidden="1" x14ac:dyDescent="0.25">
      <c r="A81" t="s">
        <v>13</v>
      </c>
      <c r="B81" s="17">
        <v>45586</v>
      </c>
      <c r="C81">
        <v>17</v>
      </c>
      <c r="D81" t="s">
        <v>36</v>
      </c>
      <c r="E81">
        <v>120.7</v>
      </c>
    </row>
    <row r="82" spans="1:5" hidden="1" x14ac:dyDescent="0.25">
      <c r="A82" t="s">
        <v>13</v>
      </c>
      <c r="B82" s="17">
        <v>45591</v>
      </c>
      <c r="C82">
        <v>17</v>
      </c>
      <c r="D82" t="s">
        <v>36</v>
      </c>
      <c r="E82">
        <v>104.14</v>
      </c>
    </row>
    <row r="83" spans="1:5" hidden="1" x14ac:dyDescent="0.25">
      <c r="A83" t="s">
        <v>13</v>
      </c>
      <c r="B83" s="17">
        <v>45598</v>
      </c>
      <c r="C83">
        <v>17</v>
      </c>
      <c r="D83" t="s">
        <v>36</v>
      </c>
      <c r="E83">
        <v>120.36</v>
      </c>
    </row>
    <row r="84" spans="1:5" hidden="1" x14ac:dyDescent="0.25">
      <c r="A84" t="s">
        <v>13</v>
      </c>
      <c r="B84" s="17">
        <v>45603</v>
      </c>
      <c r="C84">
        <v>17</v>
      </c>
      <c r="D84" t="s">
        <v>36</v>
      </c>
      <c r="E84">
        <v>76.2</v>
      </c>
    </row>
    <row r="85" spans="1:5" hidden="1" x14ac:dyDescent="0.25">
      <c r="A85" t="s">
        <v>13</v>
      </c>
      <c r="B85" s="17">
        <v>45610</v>
      </c>
      <c r="C85">
        <v>17</v>
      </c>
      <c r="D85" t="s">
        <v>36</v>
      </c>
      <c r="E85">
        <v>115.02</v>
      </c>
    </row>
    <row r="86" spans="1:5" hidden="1" x14ac:dyDescent="0.25">
      <c r="A86" t="s">
        <v>13</v>
      </c>
      <c r="B86" s="17">
        <v>45615</v>
      </c>
      <c r="C86">
        <v>17</v>
      </c>
      <c r="D86" t="s">
        <v>36</v>
      </c>
      <c r="E86">
        <v>74</v>
      </c>
    </row>
    <row r="87" spans="1:5" hidden="1" x14ac:dyDescent="0.25">
      <c r="A87" t="s">
        <v>13</v>
      </c>
      <c r="B87" s="17">
        <v>45622</v>
      </c>
      <c r="C87">
        <v>17</v>
      </c>
      <c r="D87" t="s">
        <v>36</v>
      </c>
      <c r="E87">
        <v>112.58</v>
      </c>
    </row>
    <row r="88" spans="1:5" hidden="1" x14ac:dyDescent="0.25">
      <c r="A88" t="s">
        <v>13</v>
      </c>
      <c r="B88" s="17">
        <v>45634</v>
      </c>
      <c r="C88">
        <v>17</v>
      </c>
      <c r="D88" t="s">
        <v>36</v>
      </c>
      <c r="E88">
        <v>106.49</v>
      </c>
    </row>
    <row r="89" spans="1:5" hidden="1" x14ac:dyDescent="0.25">
      <c r="A89" t="s">
        <v>13</v>
      </c>
      <c r="B89" s="17">
        <v>45639</v>
      </c>
      <c r="C89">
        <v>17</v>
      </c>
      <c r="D89" t="s">
        <v>36</v>
      </c>
      <c r="E89">
        <v>34.43</v>
      </c>
    </row>
    <row r="90" spans="1:5" hidden="1" x14ac:dyDescent="0.25">
      <c r="A90" t="s">
        <v>13</v>
      </c>
      <c r="B90" s="17">
        <v>45646</v>
      </c>
      <c r="C90">
        <v>17</v>
      </c>
      <c r="D90" t="s">
        <v>36</v>
      </c>
      <c r="E90">
        <v>106.18</v>
      </c>
    </row>
    <row r="91" spans="1:5" hidden="1" x14ac:dyDescent="0.25">
      <c r="A91" t="s">
        <v>13</v>
      </c>
      <c r="B91" s="17">
        <v>45651</v>
      </c>
      <c r="C91">
        <v>17</v>
      </c>
      <c r="D91" t="s">
        <v>36</v>
      </c>
      <c r="E91">
        <v>31.83</v>
      </c>
    </row>
    <row r="92" spans="1:5" hidden="1" x14ac:dyDescent="0.25">
      <c r="A92" t="s">
        <v>13</v>
      </c>
      <c r="B92" s="17">
        <v>45658</v>
      </c>
      <c r="C92">
        <v>17</v>
      </c>
      <c r="D92" t="s">
        <v>36</v>
      </c>
      <c r="E92">
        <v>111.33</v>
      </c>
    </row>
    <row r="93" spans="1:5" hidden="1" x14ac:dyDescent="0.25">
      <c r="A93" t="s">
        <v>13</v>
      </c>
      <c r="B93" s="17">
        <v>45663</v>
      </c>
      <c r="C93">
        <v>17</v>
      </c>
      <c r="D93" t="s">
        <v>36</v>
      </c>
      <c r="E93">
        <v>49.56</v>
      </c>
    </row>
    <row r="94" spans="1:5" hidden="1" x14ac:dyDescent="0.25">
      <c r="A94" t="s">
        <v>13</v>
      </c>
      <c r="B94" s="17">
        <v>45670</v>
      </c>
      <c r="C94">
        <v>17</v>
      </c>
      <c r="D94" t="s">
        <v>36</v>
      </c>
      <c r="E94">
        <v>107.66</v>
      </c>
    </row>
    <row r="95" spans="1:5" hidden="1" x14ac:dyDescent="0.25">
      <c r="A95" t="s">
        <v>13</v>
      </c>
      <c r="B95" s="17">
        <v>45675</v>
      </c>
      <c r="C95">
        <v>17</v>
      </c>
      <c r="D95" t="s">
        <v>36</v>
      </c>
      <c r="E95">
        <v>99.73</v>
      </c>
    </row>
    <row r="96" spans="1:5" hidden="1" x14ac:dyDescent="0.25">
      <c r="A96" t="s">
        <v>13</v>
      </c>
      <c r="B96" s="17">
        <v>45682</v>
      </c>
      <c r="C96">
        <v>17</v>
      </c>
      <c r="D96" t="s">
        <v>36</v>
      </c>
      <c r="E96">
        <v>128.82</v>
      </c>
    </row>
    <row r="97" spans="1:5" hidden="1" x14ac:dyDescent="0.25">
      <c r="A97" t="s">
        <v>13</v>
      </c>
      <c r="B97" s="17">
        <v>45687</v>
      </c>
      <c r="C97">
        <v>17</v>
      </c>
      <c r="D97" t="s">
        <v>36</v>
      </c>
      <c r="E97">
        <v>121.87</v>
      </c>
    </row>
    <row r="98" spans="1:5" hidden="1" x14ac:dyDescent="0.25">
      <c r="A98" t="s">
        <v>13</v>
      </c>
      <c r="B98" s="17">
        <v>45694</v>
      </c>
      <c r="C98">
        <v>17</v>
      </c>
      <c r="D98" t="s">
        <v>36</v>
      </c>
      <c r="E98">
        <v>131.88</v>
      </c>
    </row>
    <row r="99" spans="1:5" hidden="1" x14ac:dyDescent="0.25">
      <c r="A99" t="s">
        <v>13</v>
      </c>
      <c r="B99" s="17">
        <v>45699</v>
      </c>
      <c r="C99">
        <v>17</v>
      </c>
      <c r="D99" t="s">
        <v>36</v>
      </c>
      <c r="E99">
        <v>126.99</v>
      </c>
    </row>
    <row r="100" spans="1:5" hidden="1" x14ac:dyDescent="0.25">
      <c r="A100" t="s">
        <v>13</v>
      </c>
      <c r="B100" s="17">
        <v>45706</v>
      </c>
      <c r="C100">
        <v>17</v>
      </c>
      <c r="D100" t="s">
        <v>36</v>
      </c>
      <c r="E100">
        <v>148.16</v>
      </c>
    </row>
    <row r="101" spans="1:5" hidden="1" x14ac:dyDescent="0.25">
      <c r="A101" t="s">
        <v>13</v>
      </c>
      <c r="B101" s="17">
        <v>45711</v>
      </c>
      <c r="C101">
        <v>17</v>
      </c>
      <c r="D101" t="s">
        <v>36</v>
      </c>
      <c r="E101">
        <v>141.97</v>
      </c>
    </row>
    <row r="102" spans="1:5" hidden="1" x14ac:dyDescent="0.25">
      <c r="A102" t="s">
        <v>13</v>
      </c>
      <c r="B102" s="17">
        <v>45718</v>
      </c>
      <c r="C102">
        <v>17</v>
      </c>
      <c r="D102" t="s">
        <v>36</v>
      </c>
      <c r="E102">
        <v>142.18</v>
      </c>
    </row>
    <row r="103" spans="1:5" hidden="1" x14ac:dyDescent="0.25">
      <c r="A103" t="s">
        <v>13</v>
      </c>
      <c r="B103" s="17">
        <v>45723</v>
      </c>
      <c r="C103">
        <v>17</v>
      </c>
      <c r="D103" t="s">
        <v>36</v>
      </c>
      <c r="E103">
        <v>133.77000000000001</v>
      </c>
    </row>
    <row r="104" spans="1:5" hidden="1" x14ac:dyDescent="0.25">
      <c r="A104" t="s">
        <v>13</v>
      </c>
      <c r="B104" s="17">
        <v>45730</v>
      </c>
      <c r="C104">
        <v>17</v>
      </c>
      <c r="D104" t="s">
        <v>36</v>
      </c>
      <c r="E104">
        <v>130.97999999999999</v>
      </c>
    </row>
    <row r="105" spans="1:5" hidden="1" x14ac:dyDescent="0.25">
      <c r="A105" t="s">
        <v>13</v>
      </c>
      <c r="B105" s="17">
        <v>45735</v>
      </c>
      <c r="C105">
        <v>17</v>
      </c>
      <c r="D105" t="s">
        <v>36</v>
      </c>
      <c r="E105">
        <v>136.56</v>
      </c>
    </row>
    <row r="106" spans="1:5" hidden="1" x14ac:dyDescent="0.25">
      <c r="A106" t="s">
        <v>13</v>
      </c>
      <c r="B106" s="17">
        <v>45742</v>
      </c>
      <c r="C106">
        <v>17</v>
      </c>
      <c r="D106" t="s">
        <v>36</v>
      </c>
      <c r="E106">
        <v>147.59</v>
      </c>
    </row>
    <row r="107" spans="1:5" hidden="1" x14ac:dyDescent="0.25">
      <c r="A107" t="s">
        <v>13</v>
      </c>
      <c r="B107" s="17">
        <v>45747</v>
      </c>
      <c r="C107">
        <v>17</v>
      </c>
      <c r="D107" t="s">
        <v>36</v>
      </c>
      <c r="E107">
        <v>145.27000000000001</v>
      </c>
    </row>
    <row r="108" spans="1:5" hidden="1" x14ac:dyDescent="0.25">
      <c r="A108" t="s">
        <v>13</v>
      </c>
      <c r="B108" s="17">
        <v>45753</v>
      </c>
      <c r="C108">
        <v>17</v>
      </c>
      <c r="D108" t="s">
        <v>36</v>
      </c>
      <c r="E108">
        <v>160.85</v>
      </c>
    </row>
    <row r="109" spans="1:5" hidden="1" x14ac:dyDescent="0.25">
      <c r="A109" t="s">
        <v>13</v>
      </c>
      <c r="B109" s="17">
        <v>45754</v>
      </c>
      <c r="C109">
        <v>17</v>
      </c>
      <c r="D109" t="s">
        <v>36</v>
      </c>
      <c r="E109">
        <v>82.3</v>
      </c>
    </row>
    <row r="110" spans="1:5" hidden="1" x14ac:dyDescent="0.25">
      <c r="A110" t="s">
        <v>13</v>
      </c>
      <c r="B110" s="17">
        <v>45759</v>
      </c>
      <c r="C110">
        <v>17</v>
      </c>
      <c r="D110" t="s">
        <v>36</v>
      </c>
      <c r="E110">
        <v>157.84</v>
      </c>
    </row>
    <row r="111" spans="1:5" hidden="1" x14ac:dyDescent="0.25">
      <c r="A111" t="s">
        <v>13</v>
      </c>
      <c r="B111" s="17">
        <v>45765</v>
      </c>
      <c r="C111">
        <v>17</v>
      </c>
      <c r="D111" t="s">
        <v>36</v>
      </c>
      <c r="E111">
        <v>149.68</v>
      </c>
    </row>
    <row r="112" spans="1:5" hidden="1" x14ac:dyDescent="0.25">
      <c r="A112" t="s">
        <v>13</v>
      </c>
      <c r="B112" s="17">
        <v>45766</v>
      </c>
      <c r="C112">
        <v>17</v>
      </c>
      <c r="D112" t="s">
        <v>36</v>
      </c>
      <c r="E112">
        <v>162.96</v>
      </c>
    </row>
    <row r="113" spans="1:7" hidden="1" x14ac:dyDescent="0.25">
      <c r="A113" t="s">
        <v>13</v>
      </c>
      <c r="B113" s="17">
        <v>45771</v>
      </c>
      <c r="C113">
        <v>17</v>
      </c>
      <c r="D113" t="s">
        <v>36</v>
      </c>
      <c r="E113">
        <v>154.26</v>
      </c>
    </row>
    <row r="114" spans="1:7" hidden="1" x14ac:dyDescent="0.25">
      <c r="A114" t="s">
        <v>13</v>
      </c>
      <c r="B114" s="17">
        <v>45772</v>
      </c>
      <c r="C114">
        <v>17</v>
      </c>
      <c r="D114" t="s">
        <v>36</v>
      </c>
      <c r="E114">
        <v>168.8</v>
      </c>
    </row>
    <row r="115" spans="1:7" hidden="1" x14ac:dyDescent="0.25">
      <c r="A115" t="s">
        <v>13</v>
      </c>
      <c r="B115" s="17">
        <v>45777</v>
      </c>
      <c r="C115">
        <v>17</v>
      </c>
      <c r="D115" t="s">
        <v>36</v>
      </c>
      <c r="E115">
        <v>161.46</v>
      </c>
    </row>
    <row r="116" spans="1:7" hidden="1" x14ac:dyDescent="0.25">
      <c r="A116" t="s">
        <v>13</v>
      </c>
      <c r="B116" s="17">
        <v>45778</v>
      </c>
      <c r="C116">
        <v>17</v>
      </c>
      <c r="D116" t="s">
        <v>36</v>
      </c>
      <c r="E116">
        <v>162.72999999999999</v>
      </c>
    </row>
    <row r="117" spans="1:7" hidden="1" x14ac:dyDescent="0.25">
      <c r="A117" t="s">
        <v>13</v>
      </c>
      <c r="B117" s="17">
        <v>45783</v>
      </c>
      <c r="C117">
        <v>17</v>
      </c>
      <c r="D117" t="s">
        <v>36</v>
      </c>
      <c r="E117">
        <v>88.93</v>
      </c>
    </row>
    <row r="118" spans="1:7" hidden="1" x14ac:dyDescent="0.25">
      <c r="A118" t="s">
        <v>13</v>
      </c>
      <c r="B118" s="17">
        <v>45784</v>
      </c>
      <c r="C118">
        <v>17</v>
      </c>
      <c r="D118" t="s">
        <v>36</v>
      </c>
      <c r="E118">
        <v>167.74</v>
      </c>
    </row>
    <row r="119" spans="1:7" hidden="1" x14ac:dyDescent="0.25">
      <c r="A119" t="s">
        <v>13</v>
      </c>
      <c r="B119" s="17">
        <v>45789</v>
      </c>
      <c r="C119">
        <v>17</v>
      </c>
      <c r="D119" t="s">
        <v>36</v>
      </c>
      <c r="E119">
        <v>160.76</v>
      </c>
    </row>
    <row r="120" spans="1:7" hidden="1" x14ac:dyDescent="0.25">
      <c r="A120" t="s">
        <v>13</v>
      </c>
      <c r="B120" s="17">
        <v>45790</v>
      </c>
      <c r="C120">
        <v>17</v>
      </c>
      <c r="D120" t="s">
        <v>36</v>
      </c>
      <c r="E120">
        <v>161.88</v>
      </c>
    </row>
    <row r="121" spans="1:7" hidden="1" x14ac:dyDescent="0.25">
      <c r="A121" t="s">
        <v>13</v>
      </c>
      <c r="B121" s="17">
        <v>45795</v>
      </c>
      <c r="C121">
        <v>17</v>
      </c>
      <c r="D121" t="s">
        <v>36</v>
      </c>
      <c r="E121">
        <v>154.22999999999999</v>
      </c>
    </row>
    <row r="122" spans="1:7" hidden="1" x14ac:dyDescent="0.25">
      <c r="A122" t="s">
        <v>13</v>
      </c>
      <c r="B122" s="17">
        <v>45796</v>
      </c>
      <c r="C122">
        <v>17</v>
      </c>
      <c r="D122" t="s">
        <v>36</v>
      </c>
      <c r="E122">
        <v>168.15</v>
      </c>
    </row>
    <row r="123" spans="1:7" hidden="1" x14ac:dyDescent="0.25">
      <c r="A123" t="s">
        <v>13</v>
      </c>
      <c r="B123" s="17">
        <v>45801</v>
      </c>
      <c r="C123">
        <v>17</v>
      </c>
      <c r="D123" t="s">
        <v>36</v>
      </c>
      <c r="E123">
        <v>161.87</v>
      </c>
    </row>
    <row r="124" spans="1:7" hidden="1" x14ac:dyDescent="0.25">
      <c r="A124" t="s">
        <v>13</v>
      </c>
      <c r="B124" s="17">
        <v>45802</v>
      </c>
      <c r="C124">
        <v>17</v>
      </c>
      <c r="D124" t="s">
        <v>36</v>
      </c>
      <c r="E124">
        <v>159.97</v>
      </c>
    </row>
    <row r="125" spans="1:7" x14ac:dyDescent="0.25">
      <c r="A125" t="s">
        <v>13</v>
      </c>
      <c r="B125" s="16">
        <v>45807</v>
      </c>
      <c r="C125">
        <v>-0.125</v>
      </c>
      <c r="D125" t="s">
        <v>8</v>
      </c>
      <c r="E125" s="3">
        <v>175.52160000000001</v>
      </c>
      <c r="F125" s="3" t="s">
        <v>10</v>
      </c>
      <c r="G125" s="3"/>
    </row>
    <row r="126" spans="1:7" x14ac:dyDescent="0.25">
      <c r="A126" t="s">
        <v>13</v>
      </c>
      <c r="B126" s="16">
        <v>44805</v>
      </c>
      <c r="C126">
        <v>-0.1</v>
      </c>
      <c r="D126" t="s">
        <v>8</v>
      </c>
      <c r="E126" s="3">
        <v>381.36869999999999</v>
      </c>
      <c r="F126" s="3" t="s">
        <v>10</v>
      </c>
      <c r="G126" s="3"/>
    </row>
    <row r="127" spans="1:7" x14ac:dyDescent="0.25">
      <c r="A127" t="s">
        <v>13</v>
      </c>
      <c r="B127" s="16">
        <v>45467</v>
      </c>
      <c r="C127">
        <v>-0.1</v>
      </c>
      <c r="D127" t="s">
        <v>8</v>
      </c>
      <c r="E127" s="3">
        <v>156.40199999999999</v>
      </c>
      <c r="F127" s="3" t="s">
        <v>10</v>
      </c>
      <c r="G127" s="3"/>
    </row>
    <row r="128" spans="1:7" x14ac:dyDescent="0.25">
      <c r="A128" t="s">
        <v>13</v>
      </c>
      <c r="B128" s="16">
        <v>45478</v>
      </c>
      <c r="C128">
        <v>-0.1</v>
      </c>
      <c r="D128" t="s">
        <v>8</v>
      </c>
      <c r="E128" s="3">
        <v>153.55439999999999</v>
      </c>
      <c r="F128" s="3" t="s">
        <v>10</v>
      </c>
      <c r="G128" s="3"/>
    </row>
    <row r="129" spans="1:8" x14ac:dyDescent="0.25">
      <c r="A129" t="s">
        <v>13</v>
      </c>
      <c r="B129" s="16">
        <v>45489</v>
      </c>
      <c r="C129">
        <v>-0.1</v>
      </c>
      <c r="D129" t="s">
        <v>8</v>
      </c>
      <c r="E129" s="3">
        <v>150.95070000000001</v>
      </c>
      <c r="F129" s="3" t="s">
        <v>10</v>
      </c>
      <c r="G129" s="3"/>
    </row>
    <row r="130" spans="1:8" x14ac:dyDescent="0.25">
      <c r="A130" t="s">
        <v>13</v>
      </c>
      <c r="B130" s="16">
        <v>45490</v>
      </c>
      <c r="C130">
        <v>-0.1</v>
      </c>
      <c r="D130" t="s">
        <v>8</v>
      </c>
      <c r="E130" s="3">
        <v>149.68889999999999</v>
      </c>
      <c r="F130" s="3" t="s">
        <v>10</v>
      </c>
      <c r="G130" s="3"/>
    </row>
    <row r="131" spans="1:8" x14ac:dyDescent="0.25">
      <c r="A131" t="s">
        <v>13</v>
      </c>
      <c r="B131" s="16">
        <v>45495</v>
      </c>
      <c r="C131">
        <v>-0.1</v>
      </c>
      <c r="D131" t="s">
        <v>8</v>
      </c>
      <c r="E131" s="3">
        <v>147.1104</v>
      </c>
      <c r="F131" s="3" t="s">
        <v>10</v>
      </c>
      <c r="G131" s="3"/>
      <c r="H131" t="s">
        <v>38</v>
      </c>
    </row>
    <row r="132" spans="1:8" x14ac:dyDescent="0.25">
      <c r="A132" t="s">
        <v>13</v>
      </c>
      <c r="B132" s="16">
        <v>45513</v>
      </c>
      <c r="C132">
        <v>-0.1</v>
      </c>
      <c r="D132" t="s">
        <v>8</v>
      </c>
      <c r="E132" s="3">
        <v>144.387</v>
      </c>
      <c r="F132" s="3" t="s">
        <v>10</v>
      </c>
      <c r="G132" s="3"/>
    </row>
    <row r="133" spans="1:8" x14ac:dyDescent="0.25">
      <c r="A133" t="s">
        <v>13</v>
      </c>
      <c r="B133" s="16">
        <v>45514</v>
      </c>
      <c r="C133">
        <v>-0.1</v>
      </c>
      <c r="D133" t="s">
        <v>8</v>
      </c>
      <c r="E133" s="3">
        <v>147.351</v>
      </c>
      <c r="F133" s="3" t="s">
        <v>10</v>
      </c>
      <c r="G133" s="3"/>
    </row>
    <row r="134" spans="1:8" x14ac:dyDescent="0.25">
      <c r="A134" t="s">
        <v>13</v>
      </c>
      <c r="B134" s="16">
        <v>45519</v>
      </c>
      <c r="C134">
        <v>-0.1</v>
      </c>
      <c r="D134" t="s">
        <v>8</v>
      </c>
      <c r="E134" s="3">
        <v>142.86420000000001</v>
      </c>
      <c r="F134" s="3" t="s">
        <v>10</v>
      </c>
      <c r="G134" s="3"/>
    </row>
    <row r="135" spans="1:8" x14ac:dyDescent="0.25">
      <c r="A135" t="s">
        <v>13</v>
      </c>
      <c r="B135" s="16">
        <v>45562</v>
      </c>
      <c r="C135">
        <v>-0.1</v>
      </c>
      <c r="D135" t="s">
        <v>8</v>
      </c>
      <c r="E135" s="3">
        <v>134.25749999999999</v>
      </c>
      <c r="F135" s="3" t="s">
        <v>10</v>
      </c>
      <c r="G135" s="3"/>
    </row>
    <row r="136" spans="1:8" x14ac:dyDescent="0.25">
      <c r="A136" t="s">
        <v>13</v>
      </c>
      <c r="B136" s="16">
        <v>45567</v>
      </c>
      <c r="C136">
        <v>-0.1</v>
      </c>
      <c r="D136" t="s">
        <v>8</v>
      </c>
      <c r="E136" s="3">
        <v>136.86930000000001</v>
      </c>
      <c r="F136" s="3" t="s">
        <v>10</v>
      </c>
      <c r="G136" s="3"/>
    </row>
    <row r="137" spans="1:8" x14ac:dyDescent="0.25">
      <c r="A137" t="s">
        <v>13</v>
      </c>
      <c r="B137" s="16">
        <v>45579</v>
      </c>
      <c r="C137">
        <v>-0.1</v>
      </c>
      <c r="D137" t="s">
        <v>8</v>
      </c>
      <c r="E137" s="3">
        <v>130.6755</v>
      </c>
      <c r="F137" s="3" t="s">
        <v>10</v>
      </c>
      <c r="G137" s="3"/>
    </row>
    <row r="138" spans="1:8" x14ac:dyDescent="0.25">
      <c r="A138" t="s">
        <v>13</v>
      </c>
      <c r="B138" s="16">
        <v>45602</v>
      </c>
      <c r="C138">
        <v>-0.1</v>
      </c>
      <c r="D138" t="s">
        <v>8</v>
      </c>
      <c r="E138" s="3">
        <v>121.82040000000001</v>
      </c>
      <c r="F138" s="3" t="s">
        <v>10</v>
      </c>
      <c r="G138" s="3"/>
      <c r="H138" t="s">
        <v>39</v>
      </c>
    </row>
    <row r="139" spans="1:8" x14ac:dyDescent="0.25">
      <c r="A139" t="s">
        <v>13</v>
      </c>
      <c r="B139" s="16">
        <v>45609</v>
      </c>
      <c r="C139">
        <v>-0.1</v>
      </c>
      <c r="D139" t="s">
        <v>8</v>
      </c>
      <c r="E139" s="3">
        <v>122.8518</v>
      </c>
      <c r="F139" s="3" t="s">
        <v>10</v>
      </c>
      <c r="G139" s="3"/>
      <c r="H139" t="s">
        <v>40</v>
      </c>
    </row>
    <row r="140" spans="1:8" x14ac:dyDescent="0.25">
      <c r="A140" t="s">
        <v>13</v>
      </c>
      <c r="B140" s="18">
        <v>45614</v>
      </c>
      <c r="C140">
        <v>-0.1</v>
      </c>
      <c r="D140" t="s">
        <v>8</v>
      </c>
      <c r="E140" s="3">
        <v>120.3597</v>
      </c>
      <c r="F140" s="3" t="s">
        <v>10</v>
      </c>
      <c r="G140" s="3"/>
      <c r="H140" t="s">
        <v>41</v>
      </c>
    </row>
    <row r="141" spans="1:8" x14ac:dyDescent="0.25">
      <c r="A141" t="s">
        <v>13</v>
      </c>
      <c r="B141" s="16">
        <v>45638</v>
      </c>
      <c r="C141">
        <v>-0.1</v>
      </c>
      <c r="D141" t="s">
        <v>8</v>
      </c>
      <c r="E141" s="3">
        <v>114.99299999999999</v>
      </c>
      <c r="F141" s="3" t="s">
        <v>10</v>
      </c>
      <c r="G141" s="3"/>
      <c r="H141" t="s">
        <v>39</v>
      </c>
    </row>
    <row r="142" spans="1:8" x14ac:dyDescent="0.25">
      <c r="A142" t="s">
        <v>13</v>
      </c>
      <c r="B142" s="16">
        <v>45645</v>
      </c>
      <c r="C142">
        <v>-0.1</v>
      </c>
      <c r="D142" t="s">
        <v>8</v>
      </c>
      <c r="E142" s="3">
        <v>113.3109</v>
      </c>
      <c r="F142" s="3" t="s">
        <v>10</v>
      </c>
      <c r="G142" s="3"/>
    </row>
    <row r="143" spans="1:8" x14ac:dyDescent="0.25">
      <c r="A143" t="s">
        <v>13</v>
      </c>
      <c r="B143" s="18">
        <v>45658</v>
      </c>
      <c r="C143">
        <v>-0.1</v>
      </c>
      <c r="D143" t="s">
        <v>8</v>
      </c>
      <c r="E143" s="3">
        <v>111.2346</v>
      </c>
      <c r="F143" s="3" t="s">
        <v>10</v>
      </c>
      <c r="G143" s="3"/>
    </row>
    <row r="144" spans="1:8" x14ac:dyDescent="0.25">
      <c r="A144" t="s">
        <v>13</v>
      </c>
      <c r="B144" s="18">
        <v>45662</v>
      </c>
      <c r="C144">
        <v>-0.1</v>
      </c>
      <c r="D144" t="s">
        <v>8</v>
      </c>
      <c r="E144" s="3">
        <v>109.9251</v>
      </c>
      <c r="F144" s="3" t="s">
        <v>10</v>
      </c>
      <c r="G144" s="3"/>
    </row>
    <row r="145" spans="1:8" ht="18.75" customHeight="1" x14ac:dyDescent="0.25">
      <c r="A145" t="s">
        <v>13</v>
      </c>
      <c r="B145" s="18">
        <v>45675</v>
      </c>
      <c r="C145">
        <v>-0.1</v>
      </c>
      <c r="D145" t="s">
        <v>8</v>
      </c>
      <c r="E145" s="3">
        <v>122.3109</v>
      </c>
      <c r="F145" s="3" t="s">
        <v>10</v>
      </c>
      <c r="G145" s="3"/>
    </row>
    <row r="146" spans="1:8" x14ac:dyDescent="0.25">
      <c r="A146" t="s">
        <v>13</v>
      </c>
      <c r="B146" s="16">
        <v>45681</v>
      </c>
      <c r="C146">
        <v>-0.1</v>
      </c>
      <c r="D146" t="s">
        <v>8</v>
      </c>
      <c r="E146" s="3">
        <v>132.4494</v>
      </c>
      <c r="F146" s="3" t="s">
        <v>10</v>
      </c>
      <c r="G146" s="3"/>
      <c r="H146" t="s">
        <v>42</v>
      </c>
    </row>
    <row r="147" spans="1:8" x14ac:dyDescent="0.25">
      <c r="A147" t="s">
        <v>13</v>
      </c>
      <c r="B147" s="16">
        <v>45682</v>
      </c>
      <c r="C147">
        <v>-0.1</v>
      </c>
      <c r="D147" t="s">
        <v>8</v>
      </c>
      <c r="E147" s="3">
        <v>132.75360000000001</v>
      </c>
      <c r="F147" s="3" t="s">
        <v>10</v>
      </c>
      <c r="G147" s="3"/>
      <c r="H147" t="s">
        <v>43</v>
      </c>
    </row>
    <row r="148" spans="1:8" hidden="1" x14ac:dyDescent="0.25">
      <c r="A148" t="s">
        <v>11</v>
      </c>
      <c r="B148" s="16">
        <v>45436</v>
      </c>
      <c r="C148">
        <v>-0.2</v>
      </c>
      <c r="D148" t="s">
        <v>8</v>
      </c>
      <c r="E148" s="3">
        <v>57.535139999999998</v>
      </c>
      <c r="F148" s="3"/>
      <c r="G148" s="3" t="s">
        <v>9</v>
      </c>
      <c r="H148" t="s">
        <v>44</v>
      </c>
    </row>
    <row r="149" spans="1:8" hidden="1" x14ac:dyDescent="0.25">
      <c r="A149" t="s">
        <v>11</v>
      </c>
      <c r="B149" s="16">
        <v>45445</v>
      </c>
      <c r="C149">
        <v>-0.2</v>
      </c>
      <c r="D149" t="s">
        <v>8</v>
      </c>
      <c r="E149" s="3">
        <v>52.753900000000002</v>
      </c>
      <c r="F149" s="3"/>
      <c r="G149" s="3" t="s">
        <v>9</v>
      </c>
      <c r="H149" t="s">
        <v>45</v>
      </c>
    </row>
    <row r="150" spans="1:8" x14ac:dyDescent="0.25">
      <c r="A150" t="s">
        <v>13</v>
      </c>
      <c r="B150" s="16">
        <v>45795</v>
      </c>
      <c r="C150">
        <v>-0.1</v>
      </c>
      <c r="D150" t="s">
        <v>8</v>
      </c>
      <c r="E150" s="3">
        <v>173.96459999999999</v>
      </c>
      <c r="F150" s="3" t="s">
        <v>10</v>
      </c>
      <c r="G150" s="3"/>
    </row>
    <row r="151" spans="1:8" x14ac:dyDescent="0.25">
      <c r="A151" t="s">
        <v>13</v>
      </c>
      <c r="B151" s="16">
        <v>45415</v>
      </c>
      <c r="C151">
        <v>-0.1</v>
      </c>
      <c r="D151" t="s">
        <v>8</v>
      </c>
      <c r="E151" s="3">
        <v>162.65700000000001</v>
      </c>
      <c r="F151" s="3" t="s">
        <v>10</v>
      </c>
      <c r="G151" s="3"/>
    </row>
    <row r="152" spans="1:8" x14ac:dyDescent="0.25">
      <c r="A152" t="s">
        <v>13</v>
      </c>
      <c r="B152" s="16">
        <v>45429</v>
      </c>
      <c r="C152">
        <v>-0.1</v>
      </c>
      <c r="D152" t="s">
        <v>8</v>
      </c>
      <c r="E152" s="3">
        <v>162.3537</v>
      </c>
      <c r="F152" s="3" t="s">
        <v>10</v>
      </c>
      <c r="G152" s="3"/>
    </row>
    <row r="153" spans="1:8" x14ac:dyDescent="0.25">
      <c r="A153" t="s">
        <v>13</v>
      </c>
      <c r="B153" s="16">
        <v>45435</v>
      </c>
      <c r="C153">
        <v>-0.1</v>
      </c>
      <c r="D153" t="s">
        <v>8</v>
      </c>
      <c r="E153" s="3">
        <v>161.56440000000001</v>
      </c>
      <c r="F153" s="3" t="s">
        <v>10</v>
      </c>
      <c r="G153" s="3"/>
    </row>
    <row r="154" spans="1:8" hidden="1" x14ac:dyDescent="0.25">
      <c r="A154" t="s">
        <v>11</v>
      </c>
      <c r="B154" s="16">
        <v>45550</v>
      </c>
      <c r="C154">
        <v>-0.1</v>
      </c>
      <c r="D154" t="s">
        <v>8</v>
      </c>
      <c r="E154" s="3">
        <v>17.637</v>
      </c>
      <c r="F154" s="3"/>
      <c r="G154" t="s">
        <v>9</v>
      </c>
      <c r="H154" t="s">
        <v>46</v>
      </c>
    </row>
    <row r="155" spans="1:8" x14ac:dyDescent="0.25">
      <c r="A155" t="s">
        <v>13</v>
      </c>
      <c r="B155" s="16">
        <v>45442</v>
      </c>
      <c r="C155">
        <v>-0.1</v>
      </c>
      <c r="D155" t="s">
        <v>8</v>
      </c>
      <c r="E155" s="3">
        <v>158.9418</v>
      </c>
      <c r="F155" s="3" t="s">
        <v>10</v>
      </c>
      <c r="G155" s="3"/>
    </row>
    <row r="156" spans="1:8" x14ac:dyDescent="0.25">
      <c r="A156" t="s">
        <v>13</v>
      </c>
      <c r="B156" s="16">
        <v>45449</v>
      </c>
      <c r="C156">
        <v>-0.1</v>
      </c>
      <c r="D156" t="s">
        <v>8</v>
      </c>
      <c r="E156" s="3">
        <v>160.4709</v>
      </c>
      <c r="F156" s="3" t="s">
        <v>10</v>
      </c>
      <c r="G156" s="3"/>
    </row>
    <row r="157" spans="1:8" x14ac:dyDescent="0.25">
      <c r="A157" t="s">
        <v>13</v>
      </c>
      <c r="B157" s="16">
        <v>45453</v>
      </c>
      <c r="C157">
        <v>-0.1</v>
      </c>
      <c r="D157" t="s">
        <v>8</v>
      </c>
      <c r="E157" s="3">
        <v>156.68190000000001</v>
      </c>
      <c r="F157" s="3" t="s">
        <v>10</v>
      </c>
      <c r="G157" s="3"/>
    </row>
    <row r="158" spans="1:8" x14ac:dyDescent="0.25">
      <c r="A158" t="s">
        <v>13</v>
      </c>
      <c r="B158" s="16">
        <v>45457</v>
      </c>
      <c r="C158">
        <v>-0.1</v>
      </c>
      <c r="D158" t="s">
        <v>8</v>
      </c>
      <c r="E158" s="3">
        <v>158.9409</v>
      </c>
      <c r="F158" s="3" t="s">
        <v>10</v>
      </c>
      <c r="G158" s="3"/>
    </row>
    <row r="159" spans="1:8" x14ac:dyDescent="0.25">
      <c r="A159" t="s">
        <v>13</v>
      </c>
      <c r="B159" s="16">
        <v>45796</v>
      </c>
      <c r="C159">
        <v>-0.1</v>
      </c>
      <c r="D159" t="s">
        <v>8</v>
      </c>
      <c r="E159" s="3">
        <v>173.33099999999999</v>
      </c>
      <c r="F159" s="3" t="s">
        <v>10</v>
      </c>
      <c r="G159" s="3"/>
    </row>
    <row r="160" spans="1:8" x14ac:dyDescent="0.25">
      <c r="A160" t="s">
        <v>13</v>
      </c>
      <c r="B160" s="16">
        <v>45806</v>
      </c>
      <c r="C160">
        <v>-0.1</v>
      </c>
      <c r="D160" t="s">
        <v>8</v>
      </c>
      <c r="E160" s="3">
        <v>174.8295</v>
      </c>
      <c r="F160" s="3" t="s">
        <v>10</v>
      </c>
      <c r="G160" s="3"/>
    </row>
    <row r="161" spans="1:8" x14ac:dyDescent="0.25">
      <c r="A161" t="s">
        <v>11</v>
      </c>
      <c r="B161" s="16">
        <v>45402</v>
      </c>
      <c r="C161">
        <v>-0.1</v>
      </c>
      <c r="D161" t="s">
        <v>8</v>
      </c>
      <c r="E161" s="3">
        <v>62.448300000000003</v>
      </c>
      <c r="F161" s="3" t="s">
        <v>10</v>
      </c>
      <c r="G161" s="3"/>
    </row>
    <row r="162" spans="1:8" x14ac:dyDescent="0.25">
      <c r="A162" t="s">
        <v>11</v>
      </c>
      <c r="B162" s="16">
        <v>45511</v>
      </c>
      <c r="C162">
        <v>-0.1</v>
      </c>
      <c r="D162" t="s">
        <v>8</v>
      </c>
      <c r="E162" s="3">
        <v>32.544069999999998</v>
      </c>
      <c r="F162" s="3" t="s">
        <v>10</v>
      </c>
    </row>
    <row r="163" spans="1:8" x14ac:dyDescent="0.25">
      <c r="A163" t="s">
        <v>11</v>
      </c>
      <c r="B163" s="16">
        <v>45531</v>
      </c>
      <c r="C163">
        <v>-0.1</v>
      </c>
      <c r="D163" t="s">
        <v>8</v>
      </c>
      <c r="E163" s="3">
        <v>21.663</v>
      </c>
      <c r="F163" s="3" t="s">
        <v>10</v>
      </c>
    </row>
    <row r="164" spans="1:8" x14ac:dyDescent="0.25">
      <c r="A164" t="s">
        <v>11</v>
      </c>
      <c r="B164" s="16">
        <v>45573</v>
      </c>
      <c r="C164">
        <v>-0.1</v>
      </c>
      <c r="D164" t="s">
        <v>8</v>
      </c>
      <c r="E164" s="3">
        <v>13.346579999999999</v>
      </c>
      <c r="F164" s="3" t="s">
        <v>10</v>
      </c>
    </row>
    <row r="165" spans="1:8" x14ac:dyDescent="0.25">
      <c r="A165" t="s">
        <v>11</v>
      </c>
      <c r="B165" s="16">
        <v>45579</v>
      </c>
      <c r="C165">
        <v>-0.1</v>
      </c>
      <c r="D165" t="s">
        <v>8</v>
      </c>
      <c r="E165" s="3">
        <v>12.55719</v>
      </c>
      <c r="F165" s="3" t="s">
        <v>10</v>
      </c>
    </row>
    <row r="166" spans="1:8" x14ac:dyDescent="0.25">
      <c r="A166" t="s">
        <v>12</v>
      </c>
      <c r="B166" s="16">
        <v>45440</v>
      </c>
      <c r="C166">
        <v>-0.1</v>
      </c>
      <c r="D166" t="s">
        <v>8</v>
      </c>
      <c r="E166" s="3">
        <v>213.93539999999999</v>
      </c>
      <c r="F166" s="3" t="s">
        <v>10</v>
      </c>
    </row>
    <row r="167" spans="1:8" x14ac:dyDescent="0.25">
      <c r="A167" t="s">
        <v>12</v>
      </c>
      <c r="B167" s="16">
        <v>45453</v>
      </c>
      <c r="C167">
        <v>-0.1</v>
      </c>
      <c r="D167" t="s">
        <v>8</v>
      </c>
      <c r="E167" s="3">
        <v>200.9556</v>
      </c>
      <c r="F167" s="3" t="s">
        <v>10</v>
      </c>
    </row>
    <row r="168" spans="1:8" x14ac:dyDescent="0.25">
      <c r="A168" t="s">
        <v>12</v>
      </c>
      <c r="B168" s="16">
        <v>45490</v>
      </c>
      <c r="C168">
        <v>-0.1</v>
      </c>
      <c r="D168" t="s">
        <v>8</v>
      </c>
      <c r="E168" s="3">
        <v>178.1703</v>
      </c>
      <c r="F168" s="3" t="s">
        <v>10</v>
      </c>
    </row>
    <row r="169" spans="1:8" x14ac:dyDescent="0.25">
      <c r="A169" t="s">
        <v>12</v>
      </c>
      <c r="B169" s="16">
        <v>45501</v>
      </c>
      <c r="C169">
        <v>-0.1</v>
      </c>
      <c r="D169" t="s">
        <v>8</v>
      </c>
      <c r="E169" s="3">
        <v>164.55330000000001</v>
      </c>
      <c r="F169" s="3" t="s">
        <v>10</v>
      </c>
    </row>
    <row r="170" spans="1:8" x14ac:dyDescent="0.25">
      <c r="A170" t="s">
        <v>12</v>
      </c>
      <c r="B170" s="16">
        <v>45519</v>
      </c>
      <c r="C170">
        <v>-0.1</v>
      </c>
      <c r="D170" t="s">
        <v>8</v>
      </c>
      <c r="E170" s="3">
        <v>155.27500000000001</v>
      </c>
      <c r="F170" s="3" t="s">
        <v>10</v>
      </c>
    </row>
    <row r="171" spans="1:8" x14ac:dyDescent="0.25">
      <c r="A171" t="s">
        <v>12</v>
      </c>
      <c r="B171" s="16">
        <v>45541</v>
      </c>
      <c r="C171">
        <v>-0.1</v>
      </c>
      <c r="D171" t="s">
        <v>8</v>
      </c>
      <c r="E171" s="3">
        <v>159.58619999999999</v>
      </c>
      <c r="F171" s="3" t="s">
        <v>10</v>
      </c>
    </row>
    <row r="172" spans="1:8" x14ac:dyDescent="0.25">
      <c r="A172" t="s">
        <v>12</v>
      </c>
      <c r="B172" s="16">
        <v>45598</v>
      </c>
      <c r="C172">
        <v>-0.1</v>
      </c>
      <c r="D172" t="s">
        <v>8</v>
      </c>
      <c r="E172" s="3">
        <v>198.8964</v>
      </c>
      <c r="F172" s="3" t="s">
        <v>10</v>
      </c>
      <c r="H172" t="s">
        <v>32</v>
      </c>
    </row>
    <row r="173" spans="1:8" x14ac:dyDescent="0.25">
      <c r="A173" t="s">
        <v>11</v>
      </c>
      <c r="B173" s="16">
        <v>45593</v>
      </c>
      <c r="C173">
        <v>-7.4999999999999997E-2</v>
      </c>
      <c r="D173" t="s">
        <v>8</v>
      </c>
      <c r="E173" s="3">
        <v>10.337400000000001</v>
      </c>
      <c r="F173" s="3" t="s">
        <v>10</v>
      </c>
      <c r="H173" t="s">
        <v>47</v>
      </c>
    </row>
    <row r="174" spans="1:8" x14ac:dyDescent="0.25">
      <c r="A174" t="s">
        <v>11</v>
      </c>
      <c r="B174" s="16">
        <v>45623</v>
      </c>
      <c r="C174">
        <v>-7.4999999999999997E-2</v>
      </c>
      <c r="D174" t="s">
        <v>8</v>
      </c>
      <c r="E174" s="3">
        <v>5.3117999999999999</v>
      </c>
      <c r="F174" s="3" t="s">
        <v>10</v>
      </c>
    </row>
    <row r="175" spans="1:8" x14ac:dyDescent="0.25">
      <c r="A175" t="s">
        <v>11</v>
      </c>
      <c r="B175" s="16">
        <v>45645</v>
      </c>
      <c r="C175">
        <v>-7.4999999999999997E-2</v>
      </c>
      <c r="D175" t="s">
        <v>8</v>
      </c>
      <c r="E175" s="3">
        <v>23.518999999999998</v>
      </c>
      <c r="F175" s="3" t="s">
        <v>10</v>
      </c>
    </row>
    <row r="176" spans="1:8" x14ac:dyDescent="0.25">
      <c r="A176" t="s">
        <v>13</v>
      </c>
      <c r="B176" s="16">
        <v>45561</v>
      </c>
      <c r="C176">
        <v>-0.05</v>
      </c>
      <c r="D176" t="s">
        <v>8</v>
      </c>
      <c r="E176" s="3">
        <v>135.06700000000001</v>
      </c>
      <c r="F176" s="3" t="s">
        <v>10</v>
      </c>
      <c r="G176" s="3"/>
    </row>
    <row r="177" spans="1:8" x14ac:dyDescent="0.25">
      <c r="A177" t="s">
        <v>13</v>
      </c>
      <c r="B177" s="18">
        <v>45648</v>
      </c>
      <c r="C177">
        <v>-0.05</v>
      </c>
      <c r="D177" t="s">
        <v>8</v>
      </c>
      <c r="E177" s="3">
        <v>110.9007</v>
      </c>
      <c r="F177" s="3" t="s">
        <v>10</v>
      </c>
      <c r="G177" s="3"/>
      <c r="H177" t="s">
        <v>48</v>
      </c>
    </row>
    <row r="178" spans="1:8" x14ac:dyDescent="0.25">
      <c r="A178" t="s">
        <v>11</v>
      </c>
      <c r="B178" s="16">
        <v>45657</v>
      </c>
      <c r="C178">
        <v>-0.05</v>
      </c>
      <c r="D178" t="s">
        <v>8</v>
      </c>
      <c r="E178" s="3">
        <v>57.662999999999997</v>
      </c>
      <c r="F178" s="3" t="s">
        <v>10</v>
      </c>
      <c r="H178" t="s">
        <v>49</v>
      </c>
    </row>
    <row r="179" spans="1:8" x14ac:dyDescent="0.25">
      <c r="A179" t="s">
        <v>11</v>
      </c>
      <c r="B179" s="16">
        <v>45687</v>
      </c>
      <c r="C179">
        <v>-0.05</v>
      </c>
      <c r="D179" t="s">
        <v>8</v>
      </c>
      <c r="E179" s="3">
        <v>103.499167</v>
      </c>
      <c r="F179" s="3" t="s">
        <v>10</v>
      </c>
      <c r="H179" t="s">
        <v>50</v>
      </c>
    </row>
    <row r="180" spans="1:8" x14ac:dyDescent="0.25">
      <c r="A180" t="s">
        <v>12</v>
      </c>
      <c r="B180" s="16">
        <v>45573</v>
      </c>
      <c r="C180">
        <v>-0.05</v>
      </c>
      <c r="D180" t="s">
        <v>8</v>
      </c>
      <c r="E180" s="3">
        <v>179.1567</v>
      </c>
      <c r="F180" s="3" t="s">
        <v>10</v>
      </c>
    </row>
    <row r="181" spans="1:8" x14ac:dyDescent="0.25">
      <c r="A181" t="s">
        <v>12</v>
      </c>
      <c r="B181" s="16">
        <v>45466</v>
      </c>
      <c r="C181">
        <v>0</v>
      </c>
      <c r="D181" t="s">
        <v>8</v>
      </c>
      <c r="E181" s="3">
        <v>193.12469999999999</v>
      </c>
      <c r="F181" s="3" t="s">
        <v>10</v>
      </c>
    </row>
    <row r="182" spans="1:8" x14ac:dyDescent="0.25">
      <c r="A182" t="s">
        <v>12</v>
      </c>
      <c r="B182" s="16">
        <v>45610</v>
      </c>
      <c r="C182">
        <v>-0.1</v>
      </c>
      <c r="D182" t="s">
        <v>8</v>
      </c>
      <c r="E182" s="3">
        <v>198.88740000000001</v>
      </c>
      <c r="F182" s="3" t="s">
        <v>10</v>
      </c>
      <c r="H182" t="s">
        <v>32</v>
      </c>
    </row>
    <row r="183" spans="1:8" x14ac:dyDescent="0.25">
      <c r="A183" t="s">
        <v>12</v>
      </c>
      <c r="B183" s="16">
        <v>45645</v>
      </c>
      <c r="C183">
        <v>-0.1</v>
      </c>
      <c r="D183" t="s">
        <v>8</v>
      </c>
      <c r="E183" s="3">
        <v>217.14760000000001</v>
      </c>
      <c r="F183" s="3" t="s">
        <v>10</v>
      </c>
      <c r="H183" t="s">
        <v>32</v>
      </c>
    </row>
    <row r="184" spans="1:8" x14ac:dyDescent="0.25">
      <c r="A184" t="s">
        <v>12</v>
      </c>
      <c r="B184" s="16">
        <v>45657</v>
      </c>
      <c r="C184">
        <v>-0.1</v>
      </c>
      <c r="D184" t="s">
        <v>8</v>
      </c>
      <c r="E184" s="3">
        <v>334.70190000000002</v>
      </c>
      <c r="F184" s="3" t="s">
        <v>10</v>
      </c>
    </row>
    <row r="185" spans="1:8" x14ac:dyDescent="0.25">
      <c r="A185" t="s">
        <v>12</v>
      </c>
      <c r="B185" s="16">
        <v>45700</v>
      </c>
      <c r="C185">
        <v>-0.1</v>
      </c>
      <c r="D185" t="s">
        <v>8</v>
      </c>
      <c r="E185" s="3">
        <v>480.7713</v>
      </c>
      <c r="F185" s="3" t="s">
        <v>10</v>
      </c>
      <c r="H185" t="s">
        <v>32</v>
      </c>
    </row>
    <row r="186" spans="1:8" hidden="1" x14ac:dyDescent="0.25">
      <c r="A186" t="s">
        <v>7</v>
      </c>
      <c r="B186" s="17">
        <v>45653</v>
      </c>
      <c r="C186">
        <v>-0.4</v>
      </c>
      <c r="D186" t="s">
        <v>8</v>
      </c>
      <c r="E186" s="3">
        <v>264.04000000000002</v>
      </c>
      <c r="F186" s="3" t="s">
        <v>9</v>
      </c>
    </row>
    <row r="187" spans="1:8" hidden="1" x14ac:dyDescent="0.25">
      <c r="A187" t="s">
        <v>7</v>
      </c>
      <c r="B187" s="17">
        <v>45653</v>
      </c>
      <c r="C187">
        <v>-0.35</v>
      </c>
      <c r="D187" t="s">
        <v>8</v>
      </c>
      <c r="E187" s="3">
        <v>242.07</v>
      </c>
      <c r="F187" s="3" t="s">
        <v>9</v>
      </c>
    </row>
    <row r="188" spans="1:8" hidden="1" x14ac:dyDescent="0.25">
      <c r="A188" t="s">
        <v>7</v>
      </c>
      <c r="B188" s="17">
        <v>45653</v>
      </c>
      <c r="C188">
        <v>-0.3</v>
      </c>
      <c r="D188" t="s">
        <v>8</v>
      </c>
      <c r="E188" s="3">
        <v>224.47980000000001</v>
      </c>
      <c r="F188" s="3" t="s">
        <v>9</v>
      </c>
    </row>
    <row r="189" spans="1:8" hidden="1" x14ac:dyDescent="0.25">
      <c r="A189" t="s">
        <v>7</v>
      </c>
      <c r="B189" s="17">
        <v>45653</v>
      </c>
      <c r="C189">
        <v>-0.25</v>
      </c>
      <c r="D189" t="s">
        <v>8</v>
      </c>
      <c r="E189" s="3">
        <v>205.5591</v>
      </c>
      <c r="F189" s="3" t="s">
        <v>9</v>
      </c>
    </row>
    <row r="190" spans="1:8" hidden="1" x14ac:dyDescent="0.25">
      <c r="A190" t="s">
        <v>7</v>
      </c>
      <c r="B190" s="17">
        <v>45653</v>
      </c>
      <c r="C190">
        <v>-0.2</v>
      </c>
      <c r="D190" t="s">
        <v>8</v>
      </c>
      <c r="E190" s="3">
        <v>190.1943</v>
      </c>
      <c r="F190" s="3" t="s">
        <v>9</v>
      </c>
    </row>
    <row r="191" spans="1:8" hidden="1" x14ac:dyDescent="0.25">
      <c r="A191" t="s">
        <v>7</v>
      </c>
      <c r="B191" s="17">
        <v>45653</v>
      </c>
      <c r="C191">
        <v>-0.15</v>
      </c>
      <c r="D191" t="s">
        <v>8</v>
      </c>
      <c r="E191" s="3">
        <v>181.90799999999999</v>
      </c>
      <c r="F191" s="3" t="s">
        <v>9</v>
      </c>
    </row>
    <row r="192" spans="1:8" x14ac:dyDescent="0.25">
      <c r="A192" t="s">
        <v>7</v>
      </c>
      <c r="B192" s="17">
        <v>45653</v>
      </c>
      <c r="C192">
        <v>-0.1</v>
      </c>
      <c r="D192" t="s">
        <v>8</v>
      </c>
      <c r="E192" s="3">
        <v>177.00839999999999</v>
      </c>
      <c r="F192" t="s">
        <v>10</v>
      </c>
    </row>
    <row r="193" spans="1:6" hidden="1" x14ac:dyDescent="0.25">
      <c r="A193" t="s">
        <v>7</v>
      </c>
      <c r="B193" s="17">
        <v>45653</v>
      </c>
      <c r="C193">
        <v>-0.05</v>
      </c>
      <c r="D193" t="s">
        <v>8</v>
      </c>
      <c r="E193" s="3">
        <v>174.1446</v>
      </c>
      <c r="F193" s="3" t="s">
        <v>9</v>
      </c>
    </row>
    <row r="194" spans="1:6" hidden="1" x14ac:dyDescent="0.25">
      <c r="A194" t="s">
        <v>7</v>
      </c>
      <c r="B194" s="17">
        <v>45172</v>
      </c>
      <c r="C194">
        <v>-0.4</v>
      </c>
      <c r="D194" t="s">
        <v>8</v>
      </c>
      <c r="E194" s="3">
        <v>456.08210000000003</v>
      </c>
      <c r="F194" s="3" t="s">
        <v>9</v>
      </c>
    </row>
    <row r="195" spans="1:6" hidden="1" x14ac:dyDescent="0.25">
      <c r="A195" t="s">
        <v>7</v>
      </c>
      <c r="B195" s="17">
        <v>45172</v>
      </c>
      <c r="C195">
        <v>-0.35</v>
      </c>
      <c r="D195" t="s">
        <v>8</v>
      </c>
      <c r="E195" s="3">
        <v>386.78300000000002</v>
      </c>
      <c r="F195" s="3" t="s">
        <v>9</v>
      </c>
    </row>
    <row r="196" spans="1:6" hidden="1" x14ac:dyDescent="0.25">
      <c r="A196" t="s">
        <v>7</v>
      </c>
      <c r="B196" s="17">
        <v>45172</v>
      </c>
      <c r="C196">
        <v>-0.3</v>
      </c>
      <c r="D196" t="s">
        <v>8</v>
      </c>
      <c r="E196" s="3">
        <v>350.62986999999998</v>
      </c>
      <c r="F196" s="3" t="s">
        <v>9</v>
      </c>
    </row>
    <row r="197" spans="1:6" hidden="1" x14ac:dyDescent="0.25">
      <c r="A197" t="s">
        <v>7</v>
      </c>
      <c r="B197" s="17">
        <v>45172</v>
      </c>
      <c r="C197">
        <v>-0.25</v>
      </c>
      <c r="D197" t="s">
        <v>8</v>
      </c>
      <c r="E197" s="3">
        <v>338.68079999999998</v>
      </c>
      <c r="F197" s="3" t="s">
        <v>9</v>
      </c>
    </row>
    <row r="198" spans="1:6" hidden="1" x14ac:dyDescent="0.25">
      <c r="A198" t="s">
        <v>7</v>
      </c>
      <c r="B198" s="17">
        <v>45172</v>
      </c>
      <c r="C198">
        <v>-0.2</v>
      </c>
      <c r="D198" t="s">
        <v>8</v>
      </c>
      <c r="E198" s="3">
        <v>329.84190000000001</v>
      </c>
      <c r="F198" s="3" t="s">
        <v>9</v>
      </c>
    </row>
    <row r="199" spans="1:6" x14ac:dyDescent="0.25">
      <c r="A199" t="s">
        <v>7</v>
      </c>
      <c r="B199" s="17">
        <v>45172</v>
      </c>
      <c r="C199">
        <v>-0.15</v>
      </c>
      <c r="D199" t="s">
        <v>8</v>
      </c>
      <c r="E199" s="3">
        <v>324.69929999999999</v>
      </c>
      <c r="F199" t="s">
        <v>10</v>
      </c>
    </row>
    <row r="200" spans="1:6" x14ac:dyDescent="0.25">
      <c r="A200" t="s">
        <v>7</v>
      </c>
      <c r="B200" s="17">
        <v>45172</v>
      </c>
      <c r="C200">
        <v>-0.1</v>
      </c>
      <c r="D200" t="s">
        <v>8</v>
      </c>
      <c r="E200" s="3">
        <v>322.50060000000002</v>
      </c>
      <c r="F200" s="3" t="s">
        <v>9</v>
      </c>
    </row>
    <row r="201" spans="1:6" x14ac:dyDescent="0.25">
      <c r="A201" t="s">
        <v>7</v>
      </c>
      <c r="B201" s="17">
        <v>45172</v>
      </c>
      <c r="C201">
        <v>-0.05</v>
      </c>
      <c r="D201" t="s">
        <v>8</v>
      </c>
      <c r="E201" s="3">
        <v>320.71140000000003</v>
      </c>
      <c r="F201" s="3" t="s">
        <v>9</v>
      </c>
    </row>
    <row r="202" spans="1:6" x14ac:dyDescent="0.25">
      <c r="A202" t="s">
        <v>7</v>
      </c>
      <c r="B202" s="19">
        <v>45417</v>
      </c>
      <c r="C202">
        <v>0</v>
      </c>
      <c r="D202" t="s">
        <v>8</v>
      </c>
      <c r="E202">
        <v>278.20999999999998</v>
      </c>
      <c r="F202" s="3" t="s">
        <v>10</v>
      </c>
    </row>
    <row r="203" spans="1:6" x14ac:dyDescent="0.25">
      <c r="A203" t="s">
        <v>7</v>
      </c>
      <c r="B203" s="19">
        <v>45429</v>
      </c>
      <c r="C203">
        <v>-0.15</v>
      </c>
      <c r="D203" t="s">
        <v>8</v>
      </c>
      <c r="E203">
        <v>279.45</v>
      </c>
      <c r="F203" s="3" t="s">
        <v>10</v>
      </c>
    </row>
    <row r="204" spans="1:6" x14ac:dyDescent="0.25">
      <c r="A204" t="s">
        <v>7</v>
      </c>
      <c r="B204" s="19">
        <v>45435</v>
      </c>
      <c r="C204">
        <v>-0.1</v>
      </c>
      <c r="D204" t="s">
        <v>8</v>
      </c>
      <c r="E204">
        <v>279.02</v>
      </c>
      <c r="F204" s="3" t="s">
        <v>10</v>
      </c>
    </row>
    <row r="205" spans="1:6" x14ac:dyDescent="0.25">
      <c r="A205" t="s">
        <v>7</v>
      </c>
      <c r="B205" s="19">
        <v>45441</v>
      </c>
      <c r="C205">
        <v>-0.15</v>
      </c>
      <c r="D205" t="s">
        <v>8</v>
      </c>
      <c r="E205">
        <v>274.95999999999998</v>
      </c>
      <c r="F205" s="3" t="s">
        <v>10</v>
      </c>
    </row>
    <row r="206" spans="1:6" x14ac:dyDescent="0.25">
      <c r="A206" t="s">
        <v>7</v>
      </c>
      <c r="B206" s="19">
        <v>45454</v>
      </c>
      <c r="C206">
        <v>-0.1</v>
      </c>
      <c r="D206" t="s">
        <v>8</v>
      </c>
      <c r="E206">
        <v>268.55</v>
      </c>
      <c r="F206" s="3" t="s">
        <v>10</v>
      </c>
    </row>
    <row r="207" spans="1:6" x14ac:dyDescent="0.25">
      <c r="A207" t="s">
        <v>7</v>
      </c>
      <c r="B207" s="19">
        <v>45458</v>
      </c>
      <c r="C207">
        <v>-0.1</v>
      </c>
      <c r="D207" t="s">
        <v>8</v>
      </c>
      <c r="E207">
        <v>266.98</v>
      </c>
      <c r="F207" s="3" t="s">
        <v>10</v>
      </c>
    </row>
    <row r="208" spans="1:6" x14ac:dyDescent="0.25">
      <c r="A208" t="s">
        <v>7</v>
      </c>
      <c r="B208" s="19">
        <v>45472</v>
      </c>
      <c r="C208">
        <v>-0.15</v>
      </c>
      <c r="D208" t="s">
        <v>8</v>
      </c>
      <c r="E208">
        <v>259.17</v>
      </c>
      <c r="F208" s="3" t="s">
        <v>10</v>
      </c>
    </row>
    <row r="209" spans="1:6" x14ac:dyDescent="0.25">
      <c r="A209" t="s">
        <v>7</v>
      </c>
      <c r="B209" s="19">
        <v>45476</v>
      </c>
      <c r="C209">
        <v>-0.1</v>
      </c>
      <c r="D209" t="s">
        <v>8</v>
      </c>
      <c r="E209">
        <v>259.95</v>
      </c>
      <c r="F209" s="3" t="s">
        <v>10</v>
      </c>
    </row>
    <row r="210" spans="1:6" x14ac:dyDescent="0.25">
      <c r="A210" t="s">
        <v>7</v>
      </c>
      <c r="B210" s="19">
        <v>45483</v>
      </c>
      <c r="C210">
        <v>-0.1</v>
      </c>
      <c r="D210" t="s">
        <v>8</v>
      </c>
      <c r="E210">
        <v>254</v>
      </c>
      <c r="F210" s="3" t="s">
        <v>10</v>
      </c>
    </row>
    <row r="211" spans="1:6" x14ac:dyDescent="0.25">
      <c r="A211" t="s">
        <v>7</v>
      </c>
      <c r="B211" s="19">
        <v>45489</v>
      </c>
      <c r="C211">
        <v>-0.1</v>
      </c>
      <c r="D211" t="s">
        <v>8</v>
      </c>
      <c r="E211">
        <v>248.31</v>
      </c>
      <c r="F211" s="3" t="s">
        <v>10</v>
      </c>
    </row>
    <row r="212" spans="1:6" x14ac:dyDescent="0.25">
      <c r="A212" t="s">
        <v>7</v>
      </c>
      <c r="B212" s="19">
        <v>45501</v>
      </c>
      <c r="C212">
        <v>-0.1</v>
      </c>
      <c r="D212" t="s">
        <v>8</v>
      </c>
      <c r="E212">
        <v>239.41</v>
      </c>
      <c r="F212" s="3" t="s">
        <v>10</v>
      </c>
    </row>
    <row r="213" spans="1:6" x14ac:dyDescent="0.25">
      <c r="A213" t="s">
        <v>7</v>
      </c>
      <c r="B213" s="19">
        <v>45513</v>
      </c>
      <c r="C213">
        <v>-0.1</v>
      </c>
      <c r="D213" t="s">
        <v>8</v>
      </c>
      <c r="E213">
        <v>227.63</v>
      </c>
      <c r="F213" s="3" t="s">
        <v>10</v>
      </c>
    </row>
    <row r="214" spans="1:6" x14ac:dyDescent="0.25">
      <c r="A214" t="s">
        <v>7</v>
      </c>
      <c r="B214" s="19">
        <v>45518</v>
      </c>
      <c r="C214">
        <v>-0.1</v>
      </c>
      <c r="D214" t="s">
        <v>8</v>
      </c>
      <c r="E214">
        <v>221.45</v>
      </c>
      <c r="F214" s="3" t="s">
        <v>10</v>
      </c>
    </row>
    <row r="215" spans="1:6" x14ac:dyDescent="0.25">
      <c r="A215" t="s">
        <v>7</v>
      </c>
      <c r="B215" s="19">
        <v>45531</v>
      </c>
      <c r="C215">
        <v>-0.1</v>
      </c>
      <c r="D215" t="s">
        <v>8</v>
      </c>
      <c r="E215">
        <v>212.57</v>
      </c>
      <c r="F215" s="3" t="s">
        <v>10</v>
      </c>
    </row>
    <row r="216" spans="1:6" x14ac:dyDescent="0.25">
      <c r="A216" t="s">
        <v>7</v>
      </c>
      <c r="B216" s="19">
        <v>45543</v>
      </c>
      <c r="C216">
        <v>-0.1</v>
      </c>
      <c r="D216" t="s">
        <v>8</v>
      </c>
      <c r="E216">
        <v>203.41</v>
      </c>
      <c r="F216" s="3" t="s">
        <v>10</v>
      </c>
    </row>
    <row r="217" spans="1:6" x14ac:dyDescent="0.25">
      <c r="A217" t="s">
        <v>7</v>
      </c>
      <c r="B217" s="19">
        <v>45555</v>
      </c>
      <c r="C217">
        <v>-0.1</v>
      </c>
      <c r="D217" t="s">
        <v>8</v>
      </c>
      <c r="E217">
        <v>198.83</v>
      </c>
      <c r="F217" s="3" t="s">
        <v>10</v>
      </c>
    </row>
    <row r="218" spans="1:6" x14ac:dyDescent="0.25">
      <c r="A218" t="s">
        <v>7</v>
      </c>
      <c r="B218" s="19">
        <v>45561</v>
      </c>
      <c r="C218">
        <v>-0.1</v>
      </c>
      <c r="D218" t="s">
        <v>8</v>
      </c>
      <c r="E218">
        <v>195.33</v>
      </c>
      <c r="F218" s="3" t="s">
        <v>10</v>
      </c>
    </row>
    <row r="219" spans="1:6" x14ac:dyDescent="0.25">
      <c r="A219" t="s">
        <v>7</v>
      </c>
      <c r="B219" s="19">
        <v>45578</v>
      </c>
      <c r="C219">
        <v>-0.1</v>
      </c>
      <c r="D219" t="s">
        <v>8</v>
      </c>
      <c r="E219">
        <v>189.79</v>
      </c>
      <c r="F219" s="3" t="s">
        <v>10</v>
      </c>
    </row>
    <row r="220" spans="1:6" x14ac:dyDescent="0.25">
      <c r="A220" t="s">
        <v>7</v>
      </c>
      <c r="B220" s="19">
        <v>45585</v>
      </c>
      <c r="C220">
        <v>-0.1</v>
      </c>
      <c r="D220" t="s">
        <v>8</v>
      </c>
      <c r="E220">
        <v>186.82</v>
      </c>
      <c r="F220" s="3" t="s">
        <v>10</v>
      </c>
    </row>
    <row r="221" spans="1:6" x14ac:dyDescent="0.25">
      <c r="A221" t="s">
        <v>7</v>
      </c>
      <c r="B221" s="19">
        <v>45597</v>
      </c>
      <c r="C221">
        <v>-0.1</v>
      </c>
      <c r="D221" t="s">
        <v>8</v>
      </c>
      <c r="E221">
        <v>181.88</v>
      </c>
      <c r="F221" s="3" t="s">
        <v>10</v>
      </c>
    </row>
    <row r="222" spans="1:6" x14ac:dyDescent="0.25">
      <c r="A222" t="s">
        <v>7</v>
      </c>
      <c r="B222" s="19">
        <v>45622</v>
      </c>
      <c r="C222">
        <v>-0.1</v>
      </c>
      <c r="D222" t="s">
        <v>8</v>
      </c>
      <c r="E222">
        <v>168.71</v>
      </c>
      <c r="F222" s="3" t="s">
        <v>10</v>
      </c>
    </row>
    <row r="223" spans="1:6" x14ac:dyDescent="0.25">
      <c r="A223" t="s">
        <v>7</v>
      </c>
      <c r="B223" s="19">
        <v>45633</v>
      </c>
      <c r="C223">
        <v>-0.1</v>
      </c>
      <c r="D223" t="s">
        <v>8</v>
      </c>
      <c r="E223">
        <v>166.9</v>
      </c>
      <c r="F223" s="3" t="s">
        <v>10</v>
      </c>
    </row>
    <row r="224" spans="1:6" x14ac:dyDescent="0.25">
      <c r="A224" t="s">
        <v>7</v>
      </c>
      <c r="B224" s="19">
        <v>45653</v>
      </c>
      <c r="C224">
        <v>-0.1</v>
      </c>
      <c r="D224" t="s">
        <v>8</v>
      </c>
      <c r="E224">
        <v>177.01</v>
      </c>
      <c r="F224" s="3" t="s">
        <v>10</v>
      </c>
    </row>
    <row r="225" spans="1:6" x14ac:dyDescent="0.25">
      <c r="A225" t="s">
        <v>7</v>
      </c>
      <c r="B225" s="19">
        <v>45656</v>
      </c>
      <c r="C225">
        <v>-0.1</v>
      </c>
      <c r="D225" t="s">
        <v>8</v>
      </c>
      <c r="E225">
        <v>175.44</v>
      </c>
      <c r="F225" s="3" t="s">
        <v>10</v>
      </c>
    </row>
    <row r="226" spans="1:6" x14ac:dyDescent="0.25">
      <c r="A226" t="s">
        <v>7</v>
      </c>
      <c r="B226" s="19">
        <v>45663</v>
      </c>
      <c r="C226">
        <v>-0.1</v>
      </c>
      <c r="D226" t="s">
        <v>8</v>
      </c>
      <c r="E226">
        <v>171.91</v>
      </c>
      <c r="F226" s="3" t="s">
        <v>10</v>
      </c>
    </row>
    <row r="227" spans="1:6" x14ac:dyDescent="0.25">
      <c r="A227" t="s">
        <v>7</v>
      </c>
      <c r="B227" s="19">
        <v>45681</v>
      </c>
      <c r="C227">
        <v>-0.1</v>
      </c>
      <c r="D227" t="s">
        <v>8</v>
      </c>
      <c r="E227">
        <v>186.11</v>
      </c>
      <c r="F227" s="3" t="s">
        <v>10</v>
      </c>
    </row>
    <row r="228" spans="1:6" x14ac:dyDescent="0.25">
      <c r="A228" t="s">
        <v>7</v>
      </c>
      <c r="B228" s="19">
        <v>45693</v>
      </c>
      <c r="C228">
        <v>-0.1</v>
      </c>
      <c r="D228" t="s">
        <v>8</v>
      </c>
      <c r="E228">
        <v>190.45</v>
      </c>
      <c r="F228" s="3" t="s">
        <v>10</v>
      </c>
    </row>
    <row r="229" spans="1:6" x14ac:dyDescent="0.25">
      <c r="A229" t="s">
        <v>7</v>
      </c>
      <c r="B229" s="19">
        <v>45705</v>
      </c>
      <c r="C229">
        <v>-0.1</v>
      </c>
      <c r="D229" t="s">
        <v>8</v>
      </c>
      <c r="E229">
        <v>213.09</v>
      </c>
      <c r="F229" s="3" t="s">
        <v>10</v>
      </c>
    </row>
    <row r="230" spans="1:6" x14ac:dyDescent="0.25">
      <c r="A230" t="s">
        <v>7</v>
      </c>
      <c r="B230" s="19">
        <v>45712</v>
      </c>
      <c r="C230">
        <v>-0.1</v>
      </c>
      <c r="D230" t="s">
        <v>8</v>
      </c>
      <c r="E230">
        <v>216.98</v>
      </c>
      <c r="F230" s="3" t="s">
        <v>10</v>
      </c>
    </row>
    <row r="231" spans="1:6" x14ac:dyDescent="0.25">
      <c r="A231" t="s">
        <v>7</v>
      </c>
      <c r="B231" s="19">
        <v>45725</v>
      </c>
      <c r="C231">
        <v>-0.1</v>
      </c>
      <c r="D231" t="s">
        <v>8</v>
      </c>
      <c r="E231">
        <v>223.78</v>
      </c>
      <c r="F231" s="3" t="s">
        <v>10</v>
      </c>
    </row>
    <row r="232" spans="1:6" x14ac:dyDescent="0.25">
      <c r="A232" t="s">
        <v>7</v>
      </c>
      <c r="B232" s="19">
        <v>45751</v>
      </c>
      <c r="C232">
        <v>-0.1</v>
      </c>
      <c r="D232" t="s">
        <v>8</v>
      </c>
      <c r="E232">
        <v>234.5</v>
      </c>
      <c r="F232" s="3" t="s">
        <v>10</v>
      </c>
    </row>
    <row r="233" spans="1:6" x14ac:dyDescent="0.25">
      <c r="A233" t="s">
        <v>7</v>
      </c>
      <c r="B233" s="19">
        <v>45762</v>
      </c>
      <c r="C233">
        <v>-0.25</v>
      </c>
      <c r="D233" t="s">
        <v>8</v>
      </c>
      <c r="E233">
        <v>234.3</v>
      </c>
      <c r="F233" s="3" t="s">
        <v>10</v>
      </c>
    </row>
    <row r="234" spans="1:6" x14ac:dyDescent="0.25">
      <c r="A234" t="s">
        <v>7</v>
      </c>
      <c r="B234" s="19">
        <v>45766</v>
      </c>
      <c r="C234">
        <v>-0.1</v>
      </c>
      <c r="D234" t="s">
        <v>8</v>
      </c>
      <c r="E234">
        <v>236.8</v>
      </c>
      <c r="F234" s="3" t="s">
        <v>10</v>
      </c>
    </row>
    <row r="235" spans="1:6" x14ac:dyDescent="0.25">
      <c r="A235" t="s">
        <v>7</v>
      </c>
      <c r="B235" s="19">
        <v>45772</v>
      </c>
      <c r="C235">
        <v>-0.1</v>
      </c>
      <c r="D235" t="s">
        <v>8</v>
      </c>
      <c r="E235">
        <v>235.43</v>
      </c>
      <c r="F235" s="3" t="s">
        <v>10</v>
      </c>
    </row>
    <row r="236" spans="1:6" x14ac:dyDescent="0.25">
      <c r="A236" t="s">
        <v>7</v>
      </c>
      <c r="B236" s="19">
        <v>45783</v>
      </c>
      <c r="C236">
        <v>-0.2</v>
      </c>
      <c r="D236" t="s">
        <v>8</v>
      </c>
      <c r="E236">
        <v>232.86</v>
      </c>
      <c r="F236" s="3" t="s">
        <v>10</v>
      </c>
    </row>
    <row r="237" spans="1:6" x14ac:dyDescent="0.25">
      <c r="A237" t="s">
        <v>7</v>
      </c>
      <c r="B237" s="19">
        <v>45787</v>
      </c>
      <c r="C237">
        <v>-0.2</v>
      </c>
      <c r="D237" t="s">
        <v>8</v>
      </c>
      <c r="E237">
        <v>233.18</v>
      </c>
      <c r="F237" s="3" t="s">
        <v>10</v>
      </c>
    </row>
    <row r="238" spans="1:6" x14ac:dyDescent="0.25">
      <c r="A238" t="s">
        <v>7</v>
      </c>
      <c r="B238" s="19">
        <v>45796</v>
      </c>
      <c r="C238">
        <v>-0.1</v>
      </c>
      <c r="D238" t="s">
        <v>8</v>
      </c>
      <c r="E238">
        <v>235.31</v>
      </c>
      <c r="F238" s="3" t="s">
        <v>10</v>
      </c>
    </row>
    <row r="239" spans="1:6" x14ac:dyDescent="0.25">
      <c r="A239" t="s">
        <v>7</v>
      </c>
      <c r="B239" s="19">
        <v>45803</v>
      </c>
      <c r="C239">
        <v>-0.1</v>
      </c>
      <c r="D239" t="s">
        <v>8</v>
      </c>
      <c r="E239">
        <v>234.86</v>
      </c>
      <c r="F239" s="3" t="s">
        <v>10</v>
      </c>
    </row>
  </sheetData>
  <autoFilter ref="A1:H201" xr:uid="{4B369E3E-C609-4A3F-AFCD-95364C26A604}">
    <filterColumn colId="3">
      <filters>
        <filter val="planetNdwi"/>
      </filters>
    </filterColumn>
    <filterColumn colId="5">
      <filters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b128ac-9339-42d5-91a3-d25ef7bf2c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732562338D2641A9EEB4CF652598F7" ma:contentTypeVersion="11" ma:contentTypeDescription="Creare un nuovo documento." ma:contentTypeScope="" ma:versionID="fee4d6e551f2ee4201713f607b24b322">
  <xsd:schema xmlns:xsd="http://www.w3.org/2001/XMLSchema" xmlns:xs="http://www.w3.org/2001/XMLSchema" xmlns:p="http://schemas.microsoft.com/office/2006/metadata/properties" xmlns:ns3="5ab128ac-9339-42d5-91a3-d25ef7bf2c44" targetNamespace="http://schemas.microsoft.com/office/2006/metadata/properties" ma:root="true" ma:fieldsID="d33e9d7e70a11c5328f11bdf40e7996e" ns3:_="">
    <xsd:import namespace="5ab128ac-9339-42d5-91a3-d25ef7bf2c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28ac-9339-42d5-91a3-d25ef7bf2c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F5B466-8BEA-4A33-AA4B-005C9BC6A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85A39-4ED9-4DEA-B72A-5AB9558EA129}">
  <ds:schemaRefs>
    <ds:schemaRef ds:uri="http://purl.org/dc/elements/1.1/"/>
    <ds:schemaRef ds:uri="http://purl.org/dc/terms/"/>
    <ds:schemaRef ds:uri="http://schemas.microsoft.com/office/2006/metadata/properties"/>
    <ds:schemaRef ds:uri="5ab128ac-9339-42d5-91a3-d25ef7bf2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264025-ED9E-4511-AC30-0CFABCAD5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28ac-9339-42d5-91a3-d25ef7bf2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Sheet11</vt:lpstr>
      <vt:lpstr>README</vt:lpstr>
      <vt:lpstr>Fig7_Tab3-SelectedNDWI</vt:lpstr>
      <vt:lpstr>ndwiValidation</vt:lpstr>
      <vt:lpstr>0.20</vt:lpstr>
      <vt:lpstr>0.15</vt:lpstr>
      <vt:lpstr>0.10</vt:lpstr>
      <vt:lpstr>0.05</vt:lpstr>
      <vt:lpstr>0.00</vt:lpstr>
      <vt:lpstr>-0.05</vt:lpstr>
      <vt:lpstr>-0.1</vt:lpstr>
      <vt:lpstr>-0.15</vt:lpstr>
      <vt:lpstr>-0.2</vt:lpstr>
      <vt:lpstr>-0.25</vt:lpstr>
      <vt:lpstr>-0.3</vt:lpstr>
      <vt:lpstr>-0.35</vt:lpstr>
      <vt:lpstr>-0.4</vt:lpstr>
      <vt:lpstr>Fig9-Histogram</vt:lpstr>
      <vt:lpstr>Fig10-Final_Ts</vt:lpstr>
      <vt:lpstr>ChosenNDWI_wholeSet</vt:lpstr>
      <vt:lpstr>TndwiTotal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MARTINS JUNIOR</dc:creator>
  <cp:lastModifiedBy>CICERO MARTINS JUNIOR</cp:lastModifiedBy>
  <dcterms:created xsi:type="dcterms:W3CDTF">2025-08-04T14:50:05Z</dcterms:created>
  <dcterms:modified xsi:type="dcterms:W3CDTF">2026-04-08T08:52:38Z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0x010100C1732562338D2641A9EEB4CF652598F7</vt:lpwstr>
  </property>
</Properties>
</file>